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88A19D53-8507-4683-AA29-02A21A22BC5C}"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<sst xmlns="http://schemas.openxmlformats.org/spreadsheetml/2006/main" count="5677" uniqueCount="335">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</sst>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135</v>
      </c>
    </row>
    <row r="2" spans="1:2" x14ac:dyDescent="0.25">
      <c r="A2" s="3" t="s">
        <v>2</v>
      </c>
      <c r="B2" s="4" t="str">
        <f>IFERROR(INDEX(Geography!B:B, MATCH($B$1, Geography!C:C, 0)), "")</f>
        <v>NY</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9705292</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19867248</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0.98537417722288989</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10161956</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19867248</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1.014379738621267</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13484281</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19867248</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0.90318596703740206</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3534129</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19867248</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1.3021395374651537</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2004140</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19867248</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1.5622670415538633</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844698</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19867248</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0.89801369453093649</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4019838</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19867248</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1.0368722393497645</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15847410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19867248</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0.9910602661546003</v>
      </c>
    </row>
    <row r="12" spans="1:28" x14ac:dyDescent="0.25">
      <c r="A12" s="4" t="s">
        <v>319</v>
      </c>
    </row>
    <row r="13" spans="1:28" x14ac:dyDescent="0.25">
      <c r="A13" s="4" t="s">
        <v>320</v>
      </c>
      <c r="B13" s="37">
        <f>INDEX(Census_pop_2020_2025!G:G, MATCH("."&amp;About!$B$1, Census_pop_2020_2025!A:A, 0))</f>
        <v>20001419</v>
      </c>
      <c r="C13" s="37">
        <f>INDEX(Census_pop_2020_2025!H:H, MATCH("."&amp;About!$B$1, Census_pop_2020_2025!A:A, 0))</f>
        <v>20002427</v>
      </c>
      <c r="D13" s="37">
        <f>INDEX(Census_pop_2020_2025!H:H, MATCH("."&amp;About!$B$1, Census_pop_2020_2025!A:A, 0))+0.2*(INDEX(Cooper_pop_2030_2050!D:D, MATCH(About!$B$1, Cooper_pop_2030_2050!B:B, 0))-INDEX(Census_pop_2020_2025!H:H, MATCH("."&amp;About!$B$1, Census_pop_2020_2025!A:A, 0)))</f>
        <v>20169160.030746706</v>
      </c>
      <c r="E13" s="37">
        <f>INDEX(Census_pop_2020_2025!H:H, MATCH("."&amp;About!$B$1, Census_pop_2020_2025!A:A, 0))+0.4*(INDEX(Cooper_pop_2030_2050!D:D, MATCH(About!$B$1, Cooper_pop_2030_2050!B:B, 0))-INDEX(Census_pop_2020_2025!H:H, MATCH("."&amp;About!$B$1, Census_pop_2020_2025!A:A, 0)))</f>
        <v>20335893.061493412</v>
      </c>
      <c r="F13" s="37">
        <f>INDEX(Census_pop_2020_2025!H:H, MATCH("."&amp;About!$B$1, Census_pop_2020_2025!A:A, 0))+0.6*(INDEX(Cooper_pop_2030_2050!D:D, MATCH(About!$B$1, Cooper_pop_2030_2050!B:B, 0))-INDEX(Census_pop_2020_2025!H:H, MATCH("."&amp;About!$B$1, Census_pop_2020_2025!A:A, 0)))</f>
        <v>20502626.092240117</v>
      </c>
      <c r="G13" s="37">
        <f>INDEX(Census_pop_2020_2025!H:H, MATCH("."&amp;About!$B$1, Census_pop_2020_2025!A:A, 0))+0.8*(INDEX(Cooper_pop_2030_2050!D:D, MATCH(About!$B$1, Cooper_pop_2030_2050!B:B, 0))-INDEX(Census_pop_2020_2025!H:H, MATCH("."&amp;About!$B$1, Census_pop_2020_2025!A:A, 0)))</f>
        <v>20669359.122986823</v>
      </c>
      <c r="H13" s="37">
        <f>INDEX(Cooper_pop_2030_2050!D:D, MATCH(About!$B$1, Cooper_pop_2030_2050!B:B, 0))</f>
        <v>20836092.153733529</v>
      </c>
      <c r="I13" s="37">
        <f>INDEX(Cooper_pop_2030_2050!D:D, MATCH(About!$B$1, Cooper_pop_2030_2050!B:B, 0))+0.1*(INDEX(Cooper_pop_2030_2050!E:E, MATCH(About!$B$1, Cooper_pop_2030_2050!B:B, 0))-INDEX(Cooper_pop_2030_2050!D:D, MATCH(About!$B$1, Cooper_pop_2030_2050!B:B, 0)))</f>
        <v>20840862.233933028</v>
      </c>
      <c r="J13" s="37">
        <f>INDEX(Cooper_pop_2030_2050!D:D, MATCH(About!$B$1, Cooper_pop_2030_2050!B:B, 0))+0.2*(INDEX(Cooper_pop_2030_2050!E:E, MATCH(About!$B$1, Cooper_pop_2030_2050!B:B, 0))-INDEX(Cooper_pop_2030_2050!D:D, MATCH(About!$B$1, Cooper_pop_2030_2050!B:B, 0)))</f>
        <v>20845632.314132527</v>
      </c>
      <c r="K13" s="37">
        <f>INDEX(Cooper_pop_2030_2050!D:D, MATCH(About!$B$1, Cooper_pop_2030_2050!B:B, 0))+0.3*(INDEX(Cooper_pop_2030_2050!E:E, MATCH(About!$B$1, Cooper_pop_2030_2050!B:B, 0))-INDEX(Cooper_pop_2030_2050!D:D, MATCH(About!$B$1, Cooper_pop_2030_2050!B:B, 0)))</f>
        <v>20850402.394332021</v>
      </c>
      <c r="L13" s="37">
        <f>INDEX(Cooper_pop_2030_2050!D:D, MATCH(About!$B$1, Cooper_pop_2030_2050!B:B, 0))+0.4*(INDEX(Cooper_pop_2030_2050!E:E, MATCH(About!$B$1, Cooper_pop_2030_2050!B:B, 0))-INDEX(Cooper_pop_2030_2050!D:D, MATCH(About!$B$1, Cooper_pop_2030_2050!B:B, 0)))</f>
        <v>20855172.47453152</v>
      </c>
      <c r="M13" s="37">
        <f>INDEX(Cooper_pop_2030_2050!D:D, MATCH(About!$B$1, Cooper_pop_2030_2050!B:B, 0))+0.5*(INDEX(Cooper_pop_2030_2050!E:E, MATCH(About!$B$1, Cooper_pop_2030_2050!B:B, 0))-INDEX(Cooper_pop_2030_2050!D:D, MATCH(About!$B$1, Cooper_pop_2030_2050!B:B, 0)))</f>
        <v>20859942.554731019</v>
      </c>
      <c r="N13" s="37">
        <f>INDEX(Cooper_pop_2030_2050!D:D, MATCH(About!$B$1, Cooper_pop_2030_2050!B:B, 0))+0.6*(INDEX(Cooper_pop_2030_2050!E:E, MATCH(About!$B$1, Cooper_pop_2030_2050!B:B, 0))-INDEX(Cooper_pop_2030_2050!D:D, MATCH(About!$B$1, Cooper_pop_2030_2050!B:B, 0)))</f>
        <v>20864712.634930518</v>
      </c>
      <c r="O13" s="37">
        <f>INDEX(Cooper_pop_2030_2050!D:D, MATCH(About!$B$1, Cooper_pop_2030_2050!B:B, 0))+0.7*(INDEX(Cooper_pop_2030_2050!E:E, MATCH(About!$B$1, Cooper_pop_2030_2050!B:B, 0))-INDEX(Cooper_pop_2030_2050!D:D, MATCH(About!$B$1, Cooper_pop_2030_2050!B:B, 0)))</f>
        <v>20869482.715130016</v>
      </c>
      <c r="P13" s="37">
        <f>INDEX(Cooper_pop_2030_2050!D:D, MATCH(About!$B$1, Cooper_pop_2030_2050!B:B, 0))+0.8*(INDEX(Cooper_pop_2030_2050!E:E, MATCH(About!$B$1, Cooper_pop_2030_2050!B:B, 0))-INDEX(Cooper_pop_2030_2050!D:D, MATCH(About!$B$1, Cooper_pop_2030_2050!B:B, 0)))</f>
        <v>20874252.795329511</v>
      </c>
      <c r="Q13" s="37">
        <f>INDEX(Cooper_pop_2030_2050!D:D, MATCH(About!$B$1, Cooper_pop_2030_2050!B:B, 0))+0.9*(INDEX(Cooper_pop_2030_2050!E:E, MATCH(About!$B$1, Cooper_pop_2030_2050!B:B, 0))-INDEX(Cooper_pop_2030_2050!D:D, MATCH(About!$B$1, Cooper_pop_2030_2050!B:B, 0)))</f>
        <v>20879022.87552901</v>
      </c>
      <c r="R13" s="37">
        <f>INDEX(Cooper_pop_2030_2050!E:E, MATCH(About!$B$1, Cooper_pop_2030_2050!B:B, 0))</f>
        <v>20883792.955728509</v>
      </c>
      <c r="S13" s="37">
        <f>INDEX(Cooper_pop_2030_2050!E:E, MATCH(About!$B$1, Cooper_pop_2030_2050!B:B, 0))+0.1*(INDEX(Cooper_pop_2030_2050!F:F, MATCH(About!$B$1, Cooper_pop_2030_2050!B:B, 0))-INDEX(Cooper_pop_2030_2050!E:E, MATCH(About!$B$1, Cooper_pop_2030_2050!B:B, 0)))</f>
        <v>20864046.519157469</v>
      </c>
      <c r="T13" s="37">
        <f>INDEX(Cooper_pop_2030_2050!E:E, MATCH(About!$B$1, Cooper_pop_2030_2050!B:B, 0))+0.2*(INDEX(Cooper_pop_2030_2050!F:F, MATCH(About!$B$1, Cooper_pop_2030_2050!B:B, 0))-INDEX(Cooper_pop_2030_2050!E:E, MATCH(About!$B$1, Cooper_pop_2030_2050!B:B, 0)))</f>
        <v>20844300.082586434</v>
      </c>
      <c r="U13" s="37">
        <f>INDEX(Cooper_pop_2030_2050!E:E, MATCH(About!$B$1, Cooper_pop_2030_2050!B:B, 0))+0.3*(INDEX(Cooper_pop_2030_2050!F:F, MATCH(About!$B$1, Cooper_pop_2030_2050!B:B, 0))-INDEX(Cooper_pop_2030_2050!E:E, MATCH(About!$B$1, Cooper_pop_2030_2050!B:B, 0)))</f>
        <v>20824553.646015394</v>
      </c>
      <c r="V13" s="37">
        <f>INDEX(Cooper_pop_2030_2050!E:E, MATCH(About!$B$1, Cooper_pop_2030_2050!B:B, 0))+0.4*(INDEX(Cooper_pop_2030_2050!F:F, MATCH(About!$B$1, Cooper_pop_2030_2050!B:B, 0))-INDEX(Cooper_pop_2030_2050!E:E, MATCH(About!$B$1, Cooper_pop_2030_2050!B:B, 0)))</f>
        <v>20804807.209444359</v>
      </c>
      <c r="W13" s="37">
        <f>INDEX(Cooper_pop_2030_2050!E:E, MATCH(About!$B$1, Cooper_pop_2030_2050!B:B, 0))+0.5*(INDEX(Cooper_pop_2030_2050!F:F, MATCH(About!$B$1, Cooper_pop_2030_2050!B:B, 0))-INDEX(Cooper_pop_2030_2050!E:E, MATCH(About!$B$1, Cooper_pop_2030_2050!B:B, 0)))</f>
        <v>20785060.77287332</v>
      </c>
      <c r="X13" s="37">
        <f>INDEX(Cooper_pop_2030_2050!E:E, MATCH(About!$B$1, Cooper_pop_2030_2050!B:B, 0))+0.6*(INDEX(Cooper_pop_2030_2050!F:F, MATCH(About!$B$1, Cooper_pop_2030_2050!B:B, 0))-INDEX(Cooper_pop_2030_2050!E:E, MATCH(About!$B$1, Cooper_pop_2030_2050!B:B, 0)))</f>
        <v>20765314.33630228</v>
      </c>
      <c r="Y13" s="37">
        <f>INDEX(Cooper_pop_2030_2050!E:E, MATCH(About!$B$1, Cooper_pop_2030_2050!B:B, 0))+0.7*(INDEX(Cooper_pop_2030_2050!F:F, MATCH(About!$B$1, Cooper_pop_2030_2050!B:B, 0))-INDEX(Cooper_pop_2030_2050!E:E, MATCH(About!$B$1, Cooper_pop_2030_2050!B:B, 0)))</f>
        <v>20745567.899731245</v>
      </c>
      <c r="Z13" s="37">
        <f>INDEX(Cooper_pop_2030_2050!E:E, MATCH(About!$B$1, Cooper_pop_2030_2050!B:B, 0))+0.8*(INDEX(Cooper_pop_2030_2050!F:F, MATCH(About!$B$1, Cooper_pop_2030_2050!B:B, 0))-INDEX(Cooper_pop_2030_2050!E:E, MATCH(About!$B$1, Cooper_pop_2030_2050!B:B, 0)))</f>
        <v>20725821.463160206</v>
      </c>
      <c r="AA13" s="37">
        <f>INDEX(Cooper_pop_2030_2050!E:E, MATCH(About!$B$1, Cooper_pop_2030_2050!B:B, 0))+0.9*(INDEX(Cooper_pop_2030_2050!F:F, MATCH(About!$B$1, Cooper_pop_2030_2050!B:B, 0))-INDEX(Cooper_pop_2030_2050!E:E, MATCH(About!$B$1, Cooper_pop_2030_2050!B:B, 0)))</f>
        <v>20706075.02658917</v>
      </c>
      <c r="AB13" s="37">
        <f>INDEX(Cooper_pop_2030_2050!F:F, MATCH(About!$B$1, Cooper_pop_2030_2050!B:B, 0))</f>
        <v>20686328.590018131</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5.9442731003801666E-2</v>
      </c>
      <c r="C15" s="39">
        <f t="shared" si="1"/>
        <v>5.9175931534110021E-2</v>
      </c>
      <c r="D15" s="39">
        <f t="shared" si="1"/>
        <v>5.9406141613046727E-2</v>
      </c>
      <c r="E15" s="39">
        <f t="shared" si="1"/>
        <v>5.9641210310153674E-2</v>
      </c>
      <c r="F15" s="39">
        <f t="shared" si="1"/>
        <v>5.9881827316873137E-2</v>
      </c>
      <c r="G15" s="39">
        <f t="shared" si="1"/>
        <v>6.0128381603759024E-2</v>
      </c>
      <c r="H15" s="39">
        <f t="shared" si="1"/>
        <v>6.0381594729615205E-2</v>
      </c>
      <c r="I15" s="39">
        <f t="shared" si="1"/>
        <v>6.0174702669383247E-2</v>
      </c>
      <c r="J15" s="39">
        <f t="shared" si="1"/>
        <v>5.9979647056142699E-2</v>
      </c>
      <c r="K15" s="39">
        <f t="shared" si="1"/>
        <v>5.9794362050324019E-2</v>
      </c>
      <c r="L15" s="39">
        <f t="shared" si="1"/>
        <v>5.9618972464977361E-2</v>
      </c>
      <c r="M15" s="39">
        <f t="shared" si="1"/>
        <v>5.9453565829862789E-2</v>
      </c>
      <c r="N15" s="39">
        <f t="shared" si="1"/>
        <v>5.9298177279176849E-2</v>
      </c>
      <c r="O15" s="39">
        <f t="shared" si="1"/>
        <v>5.9152848690062321E-2</v>
      </c>
      <c r="P15" s="39">
        <f t="shared" si="1"/>
        <v>5.9017551894992956E-2</v>
      </c>
      <c r="Q15" s="39">
        <f t="shared" si="1"/>
        <v>5.8892143211220667E-2</v>
      </c>
      <c r="R15" s="39">
        <f t="shared" si="1"/>
        <v>5.8776415209270703E-2</v>
      </c>
      <c r="S15" s="39">
        <f t="shared" si="1"/>
        <v>5.8601350713624947E-2</v>
      </c>
      <c r="T15" s="39">
        <f t="shared" si="1"/>
        <v>5.8435611115895764E-2</v>
      </c>
      <c r="U15" s="39">
        <f t="shared" si="1"/>
        <v>5.8278635003942265E-2</v>
      </c>
      <c r="V15" s="39">
        <f t="shared" si="1"/>
        <v>5.8129672862069472E-2</v>
      </c>
      <c r="W15" s="39">
        <f t="shared" si="1"/>
        <v>5.7987887273520874E-2</v>
      </c>
      <c r="X15" s="39">
        <f t="shared" si="1"/>
        <v>5.7852424730739226E-2</v>
      </c>
      <c r="Y15" s="39">
        <f t="shared" si="1"/>
        <v>5.7722729938352854E-2</v>
      </c>
      <c r="Z15" s="39">
        <f t="shared" si="1"/>
        <v>5.7598003295631861E-2</v>
      </c>
      <c r="AA15" s="39">
        <f t="shared" si="1"/>
        <v>5.7477439483310196E-2</v>
      </c>
      <c r="AB15" s="39">
        <f t="shared" si="1"/>
        <v>5.7360251797074387E-2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551.233628908377</v>
      </c>
      <c r="C48" s="37">
        <f t="shared" si="10"/>
        <v>544.61946146931484</v>
      </c>
      <c r="D48" s="37">
        <f t="shared" si="10"/>
        <v>542.5234917064181</v>
      </c>
      <c r="E48" s="37">
        <f t="shared" si="10"/>
        <v>540.43888291494238</v>
      </c>
      <c r="F48" s="37">
        <f t="shared" si="10"/>
        <v>538.25278967810527</v>
      </c>
      <c r="G48" s="37">
        <f t="shared" si="10"/>
        <v>535.96604286425713</v>
      </c>
      <c r="H48" s="37">
        <f t="shared" si="10"/>
        <v>533.58222717966987</v>
      </c>
      <c r="I48" s="37">
        <f t="shared" si="10"/>
        <v>527.30686119210509</v>
      </c>
      <c r="J48" s="37">
        <f t="shared" si="10"/>
        <v>520.75120558802905</v>
      </c>
      <c r="K48" s="37">
        <f t="shared" si="10"/>
        <v>514.37003128801609</v>
      </c>
      <c r="L48" s="37">
        <f t="shared" si="10"/>
        <v>507.75028590554098</v>
      </c>
      <c r="M48" s="37">
        <f t="shared" si="10"/>
        <v>501.30336084204407</v>
      </c>
      <c r="N48" s="37">
        <f t="shared" si="10"/>
        <v>495.08495340045386</v>
      </c>
      <c r="O48" s="37">
        <f t="shared" si="10"/>
        <v>488.27597584923393</v>
      </c>
      <c r="P48" s="37">
        <f t="shared" si="10"/>
        <v>481.75081466773071</v>
      </c>
      <c r="Q48" s="37">
        <f t="shared" si="10"/>
        <v>474.98207476809841</v>
      </c>
      <c r="R48" s="37">
        <f t="shared" si="10"/>
        <v>468.25701896660894</v>
      </c>
      <c r="S48" s="37">
        <f t="shared" si="10"/>
        <v>460.91466530932092</v>
      </c>
      <c r="T48" s="37">
        <f t="shared" si="10"/>
        <v>453.68024378165546</v>
      </c>
      <c r="U48" s="37">
        <f t="shared" si="10"/>
        <v>446.54661344172484</v>
      </c>
      <c r="V48" s="37">
        <f t="shared" si="10"/>
        <v>439.50543905761555</v>
      </c>
      <c r="W48" s="37">
        <f t="shared" si="10"/>
        <v>432.60517376927868</v>
      </c>
      <c r="X48" s="37">
        <f t="shared" si="10"/>
        <v>426.2359960808638</v>
      </c>
      <c r="Y48" s="37">
        <f t="shared" si="10"/>
        <v>419.93387336062892</v>
      </c>
      <c r="Z48" s="37">
        <f t="shared" si="10"/>
        <v>413.97523777129351</v>
      </c>
      <c r="AA48" s="37">
        <f t="shared" si="10"/>
        <v>408.12467011400412</v>
      </c>
      <c r="AB48" s="37">
        <f t="shared" si="10"/>
        <v>402.31869112742089</v>
      </c>
    </row>
    <row r="49" spans="1:28" x14ac:dyDescent="0.25">
      <c r="A49" s="4" t="s">
        <v>216</v>
      </c>
      <c r="B49" s="37">
        <f t="shared" ref="B49:AB49" si="11">B29*B15*$F$5</f>
        <v>452.47245454703392</v>
      </c>
      <c r="C49" s="37">
        <f t="shared" si="11"/>
        <v>447.98050067620096</v>
      </c>
      <c r="D49" s="37">
        <f t="shared" si="11"/>
        <v>447.25258787520096</v>
      </c>
      <c r="E49" s="37">
        <f t="shared" si="11"/>
        <v>446.48140470196637</v>
      </c>
      <c r="F49" s="37">
        <f t="shared" si="11"/>
        <v>445.61000493983812</v>
      </c>
      <c r="G49" s="37">
        <f t="shared" si="11"/>
        <v>444.76104361294887</v>
      </c>
      <c r="H49" s="37">
        <f t="shared" si="11"/>
        <v>443.87778092653889</v>
      </c>
      <c r="I49" s="37">
        <f t="shared" si="11"/>
        <v>439.30487399325017</v>
      </c>
      <c r="J49" s="37">
        <f t="shared" si="11"/>
        <v>435.02129172935201</v>
      </c>
      <c r="K49" s="37">
        <f t="shared" si="11"/>
        <v>430.46278180015202</v>
      </c>
      <c r="L49" s="37">
        <f t="shared" si="11"/>
        <v>426.11585271571676</v>
      </c>
      <c r="M49" s="37">
        <f t="shared" si="11"/>
        <v>421.49605454795693</v>
      </c>
      <c r="N49" s="37">
        <f t="shared" si="11"/>
        <v>416.66507350563342</v>
      </c>
      <c r="O49" s="37">
        <f t="shared" si="11"/>
        <v>412.22370969542067</v>
      </c>
      <c r="P49" s="37">
        <f t="shared" si="11"/>
        <v>407.26981891070403</v>
      </c>
      <c r="Q49" s="37">
        <f t="shared" si="11"/>
        <v>402.52136069069928</v>
      </c>
      <c r="R49" s="37">
        <f t="shared" si="11"/>
        <v>397.55686012009659</v>
      </c>
      <c r="S49" s="37">
        <f t="shared" si="11"/>
        <v>392.21166256464494</v>
      </c>
      <c r="T49" s="37">
        <f t="shared" si="11"/>
        <v>386.83452294263407</v>
      </c>
      <c r="U49" s="37">
        <f t="shared" si="11"/>
        <v>381.53896586531545</v>
      </c>
      <c r="V49" s="37">
        <f t="shared" si="11"/>
        <v>376.43615013155761</v>
      </c>
      <c r="W49" s="37">
        <f t="shared" si="11"/>
        <v>371.45927506403137</v>
      </c>
      <c r="X49" s="37">
        <f t="shared" si="11"/>
        <v>366.48362509370122</v>
      </c>
      <c r="Y49" s="37">
        <f t="shared" si="11"/>
        <v>361.79755166385371</v>
      </c>
      <c r="Z49" s="37">
        <f t="shared" si="11"/>
        <v>357.10122489193003</v>
      </c>
      <c r="AA49" s="37">
        <f t="shared" si="11"/>
        <v>352.62228984010488</v>
      </c>
      <c r="AB49" s="37">
        <f t="shared" si="11"/>
        <v>348.52861257874656</v>
      </c>
    </row>
    <row r="50" spans="1:28" x14ac:dyDescent="0.25">
      <c r="A50" s="4" t="s">
        <v>217</v>
      </c>
      <c r="B50" s="37">
        <f t="shared" ref="B50:AB50" si="12">B30*B15*$F$6</f>
        <v>529.25473150125583</v>
      </c>
      <c r="C50" s="37">
        <f t="shared" si="12"/>
        <v>523.40520719351184</v>
      </c>
      <c r="D50" s="37">
        <f t="shared" si="12"/>
        <v>522.00748557954398</v>
      </c>
      <c r="E50" s="37">
        <f t="shared" si="12"/>
        <v>520.51782797405247</v>
      </c>
      <c r="F50" s="37">
        <f t="shared" si="12"/>
        <v>518.99415298185249</v>
      </c>
      <c r="G50" s="37">
        <f t="shared" si="12"/>
        <v>517.49245581332821</v>
      </c>
      <c r="H50" s="37">
        <f t="shared" si="12"/>
        <v>515.79968177857666</v>
      </c>
      <c r="I50" s="37">
        <f t="shared" si="12"/>
        <v>510.22791463910983</v>
      </c>
      <c r="J50" s="37">
        <f t="shared" si="12"/>
        <v>504.51105850124463</v>
      </c>
      <c r="K50" s="37">
        <f t="shared" si="12"/>
        <v>498.68612872482061</v>
      </c>
      <c r="L50" s="37">
        <f t="shared" si="12"/>
        <v>492.70022659094496</v>
      </c>
      <c r="M50" s="37">
        <f t="shared" si="12"/>
        <v>486.55419233801803</v>
      </c>
      <c r="N50" s="37">
        <f t="shared" si="12"/>
        <v>480.24814401258595</v>
      </c>
      <c r="O50" s="37">
        <f t="shared" si="12"/>
        <v>473.62169253999417</v>
      </c>
      <c r="P50" s="37">
        <f t="shared" si="12"/>
        <v>466.88820037614278</v>
      </c>
      <c r="Q50" s="37">
        <f t="shared" si="12"/>
        <v>459.99193967855331</v>
      </c>
      <c r="R50" s="37">
        <f t="shared" si="12"/>
        <v>452.93003705221759</v>
      </c>
      <c r="S50" s="37">
        <f t="shared" si="12"/>
        <v>445.28257088644148</v>
      </c>
      <c r="T50" s="37">
        <f t="shared" si="12"/>
        <v>437.7425893179838</v>
      </c>
      <c r="U50" s="37">
        <f t="shared" si="12"/>
        <v>430.30294043913278</v>
      </c>
      <c r="V50" s="37">
        <f t="shared" si="12"/>
        <v>423.00784695342566</v>
      </c>
      <c r="W50" s="37">
        <f t="shared" si="12"/>
        <v>415.95308527819822</v>
      </c>
      <c r="X50" s="37">
        <f t="shared" si="12"/>
        <v>409.18148221540417</v>
      </c>
      <c r="Y50" s="37">
        <f t="shared" si="12"/>
        <v>402.58152528996419</v>
      </c>
      <c r="Z50" s="37">
        <f t="shared" si="12"/>
        <v>396.19733045841019</v>
      </c>
      <c r="AA50" s="37">
        <f t="shared" si="12"/>
        <v>390.12481797069307</v>
      </c>
      <c r="AB50" s="37">
        <f t="shared" si="12"/>
        <v>384.25232978379682</v>
      </c>
    </row>
    <row r="51" spans="1:28" x14ac:dyDescent="0.25">
      <c r="A51" s="4" t="s">
        <v>218</v>
      </c>
      <c r="B51" s="37">
        <f t="shared" ref="B51:AB51" si="13">B31*B15*$F$7</f>
        <v>362.08997213268344</v>
      </c>
      <c r="C51" s="37">
        <f t="shared" si="13"/>
        <v>355.61030233947332</v>
      </c>
      <c r="D51" s="37">
        <f t="shared" si="13"/>
        <v>352.19770547712733</v>
      </c>
      <c r="E51" s="37">
        <f t="shared" si="13"/>
        <v>348.62102807398617</v>
      </c>
      <c r="F51" s="37">
        <f t="shared" si="13"/>
        <v>344.8811910531042</v>
      </c>
      <c r="G51" s="37">
        <f t="shared" si="13"/>
        <v>341.1336808947749</v>
      </c>
      <c r="H51" s="37">
        <f t="shared" si="13"/>
        <v>337.14512273831531</v>
      </c>
      <c r="I51" s="37">
        <f t="shared" si="13"/>
        <v>330.66172709427843</v>
      </c>
      <c r="J51" s="37">
        <f t="shared" si="13"/>
        <v>324.27896372103663</v>
      </c>
      <c r="K51" s="37">
        <f t="shared" si="13"/>
        <v>317.98270242016298</v>
      </c>
      <c r="L51" s="37">
        <f t="shared" si="13"/>
        <v>311.92626490090788</v>
      </c>
      <c r="M51" s="37">
        <f t="shared" si="13"/>
        <v>306.18359709944059</v>
      </c>
      <c r="N51" s="37">
        <f t="shared" si="13"/>
        <v>300.51883841677403</v>
      </c>
      <c r="O51" s="37">
        <f t="shared" si="13"/>
        <v>295.16080794254788</v>
      </c>
      <c r="P51" s="37">
        <f t="shared" si="13"/>
        <v>289.87475890576053</v>
      </c>
      <c r="Q51" s="37">
        <f t="shared" si="13"/>
        <v>284.81101708284422</v>
      </c>
      <c r="R51" s="37">
        <f t="shared" si="13"/>
        <v>279.88883917657864</v>
      </c>
      <c r="S51" s="37">
        <f t="shared" si="13"/>
        <v>274.70568856706223</v>
      </c>
      <c r="T51" s="37">
        <f t="shared" si="13"/>
        <v>269.66763676852901</v>
      </c>
      <c r="U51" s="37">
        <f t="shared" si="13"/>
        <v>264.69355892053102</v>
      </c>
      <c r="V51" s="37">
        <f t="shared" si="13"/>
        <v>259.92957427563681</v>
      </c>
      <c r="W51" s="37">
        <f t="shared" si="13"/>
        <v>255.14261568896998</v>
      </c>
      <c r="X51" s="37">
        <f t="shared" si="13"/>
        <v>250.55399778348706</v>
      </c>
      <c r="Y51" s="37">
        <f t="shared" si="13"/>
        <v>246.23414807568844</v>
      </c>
      <c r="Z51" s="37">
        <f t="shared" si="13"/>
        <v>241.95205615655706</v>
      </c>
      <c r="AA51" s="37">
        <f t="shared" si="13"/>
        <v>237.85310846093591</v>
      </c>
      <c r="AB51" s="37">
        <f t="shared" si="13"/>
        <v>233.78299195849212</v>
      </c>
    </row>
    <row r="52" spans="1:28" x14ac:dyDescent="0.25">
      <c r="A52" s="4" t="s">
        <v>219</v>
      </c>
      <c r="B52" s="37">
        <f t="shared" ref="B52:AB52" si="14">B32*B15*$F$8</f>
        <v>79.957126195691743</v>
      </c>
      <c r="C52" s="37">
        <f t="shared" si="14"/>
        <v>79.875596870485666</v>
      </c>
      <c r="D52" s="37">
        <f t="shared" si="14"/>
        <v>80.464758912587769</v>
      </c>
      <c r="E52" s="37">
        <f t="shared" si="14"/>
        <v>81.155858048949867</v>
      </c>
      <c r="F52" s="37">
        <f t="shared" si="14"/>
        <v>81.857479554524375</v>
      </c>
      <c r="G52" s="37">
        <f t="shared" si="14"/>
        <v>82.570261591701666</v>
      </c>
      <c r="H52" s="37">
        <f t="shared" si="14"/>
        <v>83.295310845123083</v>
      </c>
      <c r="I52" s="37">
        <f t="shared" si="14"/>
        <v>83.385942832808809</v>
      </c>
      <c r="J52" s="37">
        <f t="shared" si="14"/>
        <v>83.490465152021841</v>
      </c>
      <c r="K52" s="37">
        <f t="shared" si="14"/>
        <v>83.793040708458392</v>
      </c>
      <c r="L52" s="37">
        <f t="shared" si="14"/>
        <v>83.919820915740615</v>
      </c>
      <c r="M52" s="37">
        <f t="shared" si="14"/>
        <v>84.058523490957072</v>
      </c>
      <c r="N52" s="37">
        <f t="shared" si="14"/>
        <v>84.209385480615794</v>
      </c>
      <c r="O52" s="37">
        <f t="shared" si="14"/>
        <v>84.372654427248875</v>
      </c>
      <c r="P52" s="37">
        <f t="shared" si="14"/>
        <v>84.456277398047902</v>
      </c>
      <c r="Q52" s="37">
        <f t="shared" si="14"/>
        <v>84.644833997731325</v>
      </c>
      <c r="R52" s="37">
        <f t="shared" si="14"/>
        <v>84.662148710562789</v>
      </c>
      <c r="S52" s="37">
        <f t="shared" si="14"/>
        <v>84.684636899652588</v>
      </c>
      <c r="T52" s="37">
        <f t="shared" si="14"/>
        <v>84.810295219163521</v>
      </c>
      <c r="U52" s="37">
        <f t="shared" si="14"/>
        <v>84.764562135561278</v>
      </c>
      <c r="V52" s="37">
        <f t="shared" si="14"/>
        <v>84.820343293503697</v>
      </c>
      <c r="W52" s="37">
        <f t="shared" si="14"/>
        <v>84.885233495666341</v>
      </c>
      <c r="X52" s="37">
        <f t="shared" si="14"/>
        <v>84.867699308530135</v>
      </c>
      <c r="Y52" s="37">
        <f t="shared" si="14"/>
        <v>85.038154374924545</v>
      </c>
      <c r="Z52" s="37">
        <f t="shared" si="14"/>
        <v>85.034371786632263</v>
      </c>
      <c r="AA52" s="37">
        <f t="shared" si="14"/>
        <v>85.035968542785071</v>
      </c>
      <c r="AB52" s="37">
        <f t="shared" si="14"/>
        <v>85.041817303032275</v>
      </c>
    </row>
    <row r="53" spans="1:28" x14ac:dyDescent="0.25">
      <c r="A53" s="4" t="s">
        <v>220</v>
      </c>
      <c r="B53" s="37">
        <f t="shared" ref="B53:AB53" si="15">B33*B15*$F$9</f>
        <v>81.031426679270055</v>
      </c>
      <c r="C53" s="37">
        <f t="shared" si="15"/>
        <v>81.358560060415769</v>
      </c>
      <c r="D53" s="37">
        <f t="shared" si="15"/>
        <v>82.208541738658312</v>
      </c>
      <c r="E53" s="37">
        <f t="shared" si="15"/>
        <v>83.176542477073156</v>
      </c>
      <c r="F53" s="37">
        <f t="shared" si="15"/>
        <v>84.103632339114895</v>
      </c>
      <c r="G53" s="37">
        <f t="shared" si="15"/>
        <v>84.935881203277958</v>
      </c>
      <c r="H53" s="37">
        <f t="shared" si="15"/>
        <v>85.998469358191002</v>
      </c>
      <c r="I53" s="37">
        <f t="shared" si="15"/>
        <v>86.190142762986355</v>
      </c>
      <c r="J53" s="37">
        <f t="shared" si="15"/>
        <v>86.449383841525048</v>
      </c>
      <c r="K53" s="37">
        <f t="shared" si="15"/>
        <v>86.558203434814217</v>
      </c>
      <c r="L53" s="37">
        <f t="shared" si="15"/>
        <v>86.732619038408231</v>
      </c>
      <c r="M53" s="37">
        <f t="shared" si="15"/>
        <v>86.758938993859161</v>
      </c>
      <c r="N53" s="37">
        <f t="shared" si="15"/>
        <v>86.90493882011603</v>
      </c>
      <c r="O53" s="37">
        <f t="shared" si="15"/>
        <v>86.957551633892848</v>
      </c>
      <c r="P53" s="37">
        <f t="shared" si="15"/>
        <v>86.917654503805991</v>
      </c>
      <c r="Q53" s="37">
        <f t="shared" si="15"/>
        <v>86.785845761587325</v>
      </c>
      <c r="R53" s="37">
        <f t="shared" si="15"/>
        <v>86.668086319859597</v>
      </c>
      <c r="S53" s="37">
        <f t="shared" si="15"/>
        <v>86.409946983424263</v>
      </c>
      <c r="T53" s="37">
        <f t="shared" si="15"/>
        <v>85.955653651727417</v>
      </c>
      <c r="U53" s="37">
        <f t="shared" si="15"/>
        <v>85.62008017533222</v>
      </c>
      <c r="V53" s="37">
        <f t="shared" si="15"/>
        <v>85.19242741522649</v>
      </c>
      <c r="W53" s="37">
        <f t="shared" si="15"/>
        <v>84.776336694539779</v>
      </c>
      <c r="X53" s="37">
        <f t="shared" si="15"/>
        <v>84.474390483459104</v>
      </c>
      <c r="Y53" s="37">
        <f t="shared" si="15"/>
        <v>84.025834993940165</v>
      </c>
      <c r="Z53" s="37">
        <f t="shared" si="15"/>
        <v>83.740825298389865</v>
      </c>
      <c r="AA53" s="37">
        <f t="shared" si="15"/>
        <v>83.307461841093343</v>
      </c>
      <c r="AB53" s="37">
        <f t="shared" si="15"/>
        <v>83.034590116451071</v>
      </c>
    </row>
    <row r="54" spans="1:28" x14ac:dyDescent="0.25">
      <c r="A54" s="4" t="s">
        <v>221</v>
      </c>
      <c r="B54" s="37">
        <f t="shared" ref="B54:AB54" si="16">B34*B15*$F$10</f>
        <v>236.7381821360826</v>
      </c>
      <c r="C54" s="37">
        <f t="shared" si="16"/>
        <v>236.65734564923454</v>
      </c>
      <c r="D54" s="37">
        <f t="shared" si="16"/>
        <v>238.68674395611484</v>
      </c>
      <c r="E54" s="37">
        <f t="shared" si="16"/>
        <v>240.80618774634434</v>
      </c>
      <c r="F54" s="37">
        <f t="shared" si="16"/>
        <v>243.1436739771508</v>
      </c>
      <c r="G54" s="37">
        <f t="shared" si="16"/>
        <v>245.2669990488574</v>
      </c>
      <c r="H54" s="37">
        <f t="shared" si="16"/>
        <v>247.36420540342669</v>
      </c>
      <c r="I54" s="37">
        <f t="shared" si="16"/>
        <v>247.51493003864132</v>
      </c>
      <c r="J54" s="37">
        <f t="shared" si="16"/>
        <v>247.58329044583306</v>
      </c>
      <c r="K54" s="37">
        <f t="shared" si="16"/>
        <v>247.5624625198829</v>
      </c>
      <c r="L54" s="37">
        <f t="shared" si="16"/>
        <v>247.39266446494707</v>
      </c>
      <c r="M54" s="37">
        <f t="shared" si="16"/>
        <v>247.07617377286857</v>
      </c>
      <c r="N54" s="37">
        <f t="shared" si="16"/>
        <v>246.61486643179072</v>
      </c>
      <c r="O54" s="37">
        <f t="shared" si="16"/>
        <v>246.0104601542678</v>
      </c>
      <c r="P54" s="37">
        <f t="shared" si="16"/>
        <v>245.08061308318065</v>
      </c>
      <c r="Q54" s="37">
        <f t="shared" si="16"/>
        <v>244.0102591324555</v>
      </c>
      <c r="R54" s="37">
        <f t="shared" si="16"/>
        <v>242.61660400403153</v>
      </c>
      <c r="S54" s="37">
        <f t="shared" si="16"/>
        <v>240.98254310615471</v>
      </c>
      <c r="T54" s="37">
        <f t="shared" si="16"/>
        <v>239.14976788540125</v>
      </c>
      <c r="U54" s="37">
        <f t="shared" si="16"/>
        <v>237.11750522364906</v>
      </c>
      <c r="V54" s="37">
        <f t="shared" si="16"/>
        <v>235.12514492940966</v>
      </c>
      <c r="W54" s="37">
        <f t="shared" si="16"/>
        <v>232.86811625220713</v>
      </c>
      <c r="X54" s="37">
        <f t="shared" si="16"/>
        <v>230.94445675214482</v>
      </c>
      <c r="Y54" s="37">
        <f t="shared" si="16"/>
        <v>228.99029426230072</v>
      </c>
      <c r="Z54" s="37">
        <f t="shared" si="16"/>
        <v>227.06217204634274</v>
      </c>
      <c r="AA54" s="37">
        <f t="shared" si="16"/>
        <v>225.2161612895994</v>
      </c>
      <c r="AB54" s="37">
        <f t="shared" si="16"/>
        <v>223.50799976121473</v>
      </c>
    </row>
    <row r="55" spans="1:28" x14ac:dyDescent="0.25">
      <c r="A55" s="4" t="s">
        <v>222</v>
      </c>
      <c r="B55" s="37">
        <f t="shared" ref="B55:AB55" si="17">B35*B15*$F$11</f>
        <v>770.2067128565011</v>
      </c>
      <c r="C55" s="37">
        <f t="shared" si="17"/>
        <v>759.24295454920764</v>
      </c>
      <c r="D55" s="37">
        <f t="shared" si="17"/>
        <v>754.48397743129635</v>
      </c>
      <c r="E55" s="37">
        <f t="shared" si="17"/>
        <v>749.60808419204727</v>
      </c>
      <c r="F55" s="37">
        <f t="shared" si="17"/>
        <v>744.32379946922765</v>
      </c>
      <c r="G55" s="37">
        <f t="shared" si="17"/>
        <v>739.16490185777081</v>
      </c>
      <c r="H55" s="37">
        <f t="shared" si="17"/>
        <v>733.89982714956273</v>
      </c>
      <c r="I55" s="37">
        <f t="shared" si="17"/>
        <v>722.97640321123981</v>
      </c>
      <c r="J55" s="37">
        <f t="shared" si="17"/>
        <v>712.13247080433086</v>
      </c>
      <c r="K55" s="37">
        <f t="shared" si="17"/>
        <v>701.28066690055289</v>
      </c>
      <c r="L55" s="37">
        <f t="shared" si="17"/>
        <v>690.53802028100267</v>
      </c>
      <c r="M55" s="37">
        <f t="shared" si="17"/>
        <v>679.84280645207139</v>
      </c>
      <c r="N55" s="37">
        <f t="shared" si="17"/>
        <v>669.30951912640933</v>
      </c>
      <c r="O55" s="37">
        <f t="shared" si="17"/>
        <v>658.6996905924475</v>
      </c>
      <c r="P55" s="37">
        <f t="shared" si="17"/>
        <v>648.18563353377647</v>
      </c>
      <c r="Q55" s="37">
        <f t="shared" si="17"/>
        <v>637.76160097045022</v>
      </c>
      <c r="R55" s="37">
        <f t="shared" si="17"/>
        <v>627.47944561823613</v>
      </c>
      <c r="S55" s="37">
        <f t="shared" si="17"/>
        <v>616.43426907709431</v>
      </c>
      <c r="T55" s="37">
        <f t="shared" si="17"/>
        <v>605.65637429014907</v>
      </c>
      <c r="U55" s="37">
        <f t="shared" si="17"/>
        <v>595.25023287388728</v>
      </c>
      <c r="V55" s="37">
        <f t="shared" si="17"/>
        <v>585.08725199469745</v>
      </c>
      <c r="W55" s="37">
        <f t="shared" si="17"/>
        <v>575.44201333332103</v>
      </c>
      <c r="X55" s="37">
        <f t="shared" si="17"/>
        <v>566.01348386358302</v>
      </c>
      <c r="Y55" s="37">
        <f t="shared" si="17"/>
        <v>556.96447107743018</v>
      </c>
      <c r="Z55" s="37">
        <f t="shared" si="17"/>
        <v>548.22602014087215</v>
      </c>
      <c r="AA55" s="37">
        <f t="shared" si="17"/>
        <v>539.73017132423081</v>
      </c>
      <c r="AB55" s="37">
        <f t="shared" si="17"/>
        <v>531.52381095877706</v>
      </c>
    </row>
    <row r="57" spans="1:28" x14ac:dyDescent="0.25">
      <c r="A57" s="4" t="s">
        <v>327</v>
      </c>
    </row>
    <row r="58" spans="1:28" x14ac:dyDescent="0.25">
      <c r="A58" s="4" t="s">
        <v>215</v>
      </c>
      <c r="B58" s="37">
        <f t="shared" ref="B58:AB58" si="18">B38*B15*$F$4</f>
        <v>87411.209361159228</v>
      </c>
      <c r="C58" s="37">
        <f t="shared" si="18"/>
        <v>88603.93026887739</v>
      </c>
      <c r="D58" s="37">
        <f t="shared" si="18"/>
        <v>90526.671011075727</v>
      </c>
      <c r="E58" s="37">
        <f t="shared" si="18"/>
        <v>92462.710563279426</v>
      </c>
      <c r="F58" s="37">
        <f t="shared" si="18"/>
        <v>94419.995173860108</v>
      </c>
      <c r="G58" s="37">
        <f t="shared" si="18"/>
        <v>96401.426244150978</v>
      </c>
      <c r="H58" s="37">
        <f t="shared" si="18"/>
        <v>98400.523586444586</v>
      </c>
      <c r="I58" s="37">
        <f t="shared" si="18"/>
        <v>99637.338220653008</v>
      </c>
      <c r="J58" s="37">
        <f t="shared" si="18"/>
        <v>100853.62770876581</v>
      </c>
      <c r="K58" s="37">
        <f t="shared" si="18"/>
        <v>102047.89145706607</v>
      </c>
      <c r="L58" s="37">
        <f t="shared" si="18"/>
        <v>103211.77470825435</v>
      </c>
      <c r="M58" s="37">
        <f t="shared" si="18"/>
        <v>104343.86039371778</v>
      </c>
      <c r="N58" s="37">
        <f t="shared" si="18"/>
        <v>105433.81287972306</v>
      </c>
      <c r="O58" s="37">
        <f t="shared" si="18"/>
        <v>106478.02788279545</v>
      </c>
      <c r="P58" s="37">
        <f t="shared" si="18"/>
        <v>107463.23073650904</v>
      </c>
      <c r="Q58" s="37">
        <f t="shared" si="18"/>
        <v>108387.659737439</v>
      </c>
      <c r="R58" s="37">
        <f t="shared" si="18"/>
        <v>109235.29855169178</v>
      </c>
      <c r="S58" s="37">
        <f t="shared" si="18"/>
        <v>109878.66084738678</v>
      </c>
      <c r="T58" s="37">
        <f t="shared" si="18"/>
        <v>110439.72895684998</v>
      </c>
      <c r="U58" s="37">
        <f t="shared" si="18"/>
        <v>110924.85484273442</v>
      </c>
      <c r="V58" s="37">
        <f t="shared" si="18"/>
        <v>111307.77393383563</v>
      </c>
      <c r="W58" s="37">
        <f t="shared" si="18"/>
        <v>111595.45002059429</v>
      </c>
      <c r="X58" s="37">
        <f t="shared" si="18"/>
        <v>111782.08590919775</v>
      </c>
      <c r="Y58" s="37">
        <f t="shared" si="18"/>
        <v>111914.05516598946</v>
      </c>
      <c r="Z58" s="37">
        <f t="shared" si="18"/>
        <v>111950.61864612387</v>
      </c>
      <c r="AA58" s="37">
        <f t="shared" si="18"/>
        <v>111898.88124271457</v>
      </c>
      <c r="AB58" s="37">
        <f t="shared" si="18"/>
        <v>111769.14018334501</v>
      </c>
    </row>
    <row r="59" spans="1:28" x14ac:dyDescent="0.25">
      <c r="A59" s="4" t="s">
        <v>216</v>
      </c>
      <c r="B59" s="37">
        <f t="shared" ref="B59:AB59" si="19">B39*B15*$F$5</f>
        <v>84556.272323492478</v>
      </c>
      <c r="C59" s="37">
        <f t="shared" si="19"/>
        <v>85488.041509382325</v>
      </c>
      <c r="D59" s="37">
        <f t="shared" si="19"/>
        <v>87130.492698565489</v>
      </c>
      <c r="E59" s="37">
        <f t="shared" si="19"/>
        <v>88829.048435174671</v>
      </c>
      <c r="F59" s="37">
        <f t="shared" si="19"/>
        <v>90609.594911219625</v>
      </c>
      <c r="G59" s="37">
        <f t="shared" si="19"/>
        <v>92477.970775125446</v>
      </c>
      <c r="H59" s="37">
        <f t="shared" si="19"/>
        <v>94443.863810265088</v>
      </c>
      <c r="I59" s="37">
        <f t="shared" si="19"/>
        <v>95755.522050705476</v>
      </c>
      <c r="J59" s="37">
        <f t="shared" si="19"/>
        <v>97132.770860103788</v>
      </c>
      <c r="K59" s="37">
        <f t="shared" si="19"/>
        <v>98550.502272708793</v>
      </c>
      <c r="L59" s="37">
        <f t="shared" si="19"/>
        <v>100006.53615207101</v>
      </c>
      <c r="M59" s="37">
        <f t="shared" si="19"/>
        <v>101494.66985264279</v>
      </c>
      <c r="N59" s="37">
        <f t="shared" si="19"/>
        <v>102993.20611807042</v>
      </c>
      <c r="O59" s="37">
        <f t="shared" si="19"/>
        <v>104481.66942765034</v>
      </c>
      <c r="P59" s="37">
        <f t="shared" si="19"/>
        <v>105955.70641549057</v>
      </c>
      <c r="Q59" s="37">
        <f t="shared" si="19"/>
        <v>107386.40254201191</v>
      </c>
      <c r="R59" s="37">
        <f t="shared" si="19"/>
        <v>108765.96442233786</v>
      </c>
      <c r="S59" s="37">
        <f t="shared" si="19"/>
        <v>109946.05961877509</v>
      </c>
      <c r="T59" s="37">
        <f t="shared" si="19"/>
        <v>111045.45554810767</v>
      </c>
      <c r="U59" s="37">
        <f t="shared" si="19"/>
        <v>112054.45909798391</v>
      </c>
      <c r="V59" s="37">
        <f t="shared" si="19"/>
        <v>112948.298845927</v>
      </c>
      <c r="W59" s="37">
        <f t="shared" si="19"/>
        <v>113704.88994272769</v>
      </c>
      <c r="X59" s="37">
        <f t="shared" si="19"/>
        <v>114330.91942642948</v>
      </c>
      <c r="Y59" s="37">
        <f t="shared" si="19"/>
        <v>114880.12037249061</v>
      </c>
      <c r="Z59" s="37">
        <f t="shared" si="19"/>
        <v>115303.381529299</v>
      </c>
      <c r="AA59" s="37">
        <f t="shared" si="19"/>
        <v>115583.38306930216</v>
      </c>
      <c r="AB59" s="37">
        <f t="shared" si="19"/>
        <v>115722.55454081665</v>
      </c>
    </row>
    <row r="60" spans="1:28" x14ac:dyDescent="0.25">
      <c r="A60" s="4" t="s">
        <v>217</v>
      </c>
      <c r="B60" s="37">
        <f t="shared" ref="B60:AB60" si="20">B40*B15*$F$6</f>
        <v>125855.35779200985</v>
      </c>
      <c r="C60" s="37">
        <f t="shared" si="20"/>
        <v>127386.82217665932</v>
      </c>
      <c r="D60" s="37">
        <f t="shared" si="20"/>
        <v>129961.88955349709</v>
      </c>
      <c r="E60" s="37">
        <f t="shared" si="20"/>
        <v>132574.59258777971</v>
      </c>
      <c r="F60" s="37">
        <f t="shared" si="20"/>
        <v>135252.54803772076</v>
      </c>
      <c r="G60" s="37">
        <f t="shared" si="20"/>
        <v>137997.08309837943</v>
      </c>
      <c r="H60" s="37">
        <f t="shared" si="20"/>
        <v>140814.07662687782</v>
      </c>
      <c r="I60" s="37">
        <f t="shared" si="20"/>
        <v>142582.77769390188</v>
      </c>
      <c r="J60" s="37">
        <f t="shared" si="20"/>
        <v>144372.93873236421</v>
      </c>
      <c r="K60" s="37">
        <f t="shared" si="20"/>
        <v>146159.15815162999</v>
      </c>
      <c r="L60" s="37">
        <f t="shared" si="20"/>
        <v>147933.96996869176</v>
      </c>
      <c r="M60" s="37">
        <f t="shared" si="20"/>
        <v>149691.96011029943</v>
      </c>
      <c r="N60" s="37">
        <f t="shared" si="20"/>
        <v>151406.38149608974</v>
      </c>
      <c r="O60" s="37">
        <f t="shared" si="20"/>
        <v>153062.72387787688</v>
      </c>
      <c r="P60" s="37">
        <f t="shared" si="20"/>
        <v>154641.85793346763</v>
      </c>
      <c r="Q60" s="37">
        <f t="shared" si="20"/>
        <v>156123.6472638688</v>
      </c>
      <c r="R60" s="37">
        <f t="shared" si="20"/>
        <v>157488.84890785004</v>
      </c>
      <c r="S60" s="37">
        <f t="shared" si="20"/>
        <v>158538.64365547954</v>
      </c>
      <c r="T60" s="37">
        <f t="shared" si="20"/>
        <v>159448.13399575511</v>
      </c>
      <c r="U60" s="37">
        <f t="shared" si="20"/>
        <v>160217.75988664181</v>
      </c>
      <c r="V60" s="37">
        <f t="shared" si="20"/>
        <v>160805.51161091554</v>
      </c>
      <c r="W60" s="37">
        <f t="shared" si="20"/>
        <v>161200.04664372499</v>
      </c>
      <c r="X60" s="37">
        <f t="shared" si="20"/>
        <v>161405.5048833061</v>
      </c>
      <c r="Y60" s="37">
        <f t="shared" si="20"/>
        <v>161504.79101142095</v>
      </c>
      <c r="Z60" s="37">
        <f t="shared" si="20"/>
        <v>161425.90993719004</v>
      </c>
      <c r="AA60" s="37">
        <f t="shared" si="20"/>
        <v>161159.39426531614</v>
      </c>
      <c r="AB60" s="37">
        <f t="shared" si="20"/>
        <v>160719.4817823956</v>
      </c>
    </row>
    <row r="61" spans="1:28" x14ac:dyDescent="0.25">
      <c r="A61" s="4" t="s">
        <v>218</v>
      </c>
      <c r="B61" s="37">
        <f t="shared" ref="B61:AB61" si="21">B41*B15*$F$7</f>
        <v>27993.781034928354</v>
      </c>
      <c r="C61" s="37">
        <f t="shared" si="21"/>
        <v>28288.549121314722</v>
      </c>
      <c r="D61" s="37">
        <f t="shared" si="21"/>
        <v>28819.720172058082</v>
      </c>
      <c r="E61" s="37">
        <f t="shared" si="21"/>
        <v>29357.711493787585</v>
      </c>
      <c r="F61" s="37">
        <f t="shared" si="21"/>
        <v>29912.263845133988</v>
      </c>
      <c r="G61" s="37">
        <f t="shared" si="21"/>
        <v>30484.447966504824</v>
      </c>
      <c r="H61" s="37">
        <f t="shared" si="21"/>
        <v>31073.804229920839</v>
      </c>
      <c r="I61" s="37">
        <f t="shared" si="21"/>
        <v>31437.70288141827</v>
      </c>
      <c r="J61" s="37">
        <f t="shared" si="21"/>
        <v>31813.156554317469</v>
      </c>
      <c r="K61" s="37">
        <f t="shared" si="21"/>
        <v>32198.162298732739</v>
      </c>
      <c r="L61" s="37">
        <f t="shared" si="21"/>
        <v>32592.80123218954</v>
      </c>
      <c r="M61" s="37">
        <f t="shared" si="21"/>
        <v>32995.443742545402</v>
      </c>
      <c r="N61" s="37">
        <f t="shared" si="21"/>
        <v>33407.703275498425</v>
      </c>
      <c r="O61" s="37">
        <f t="shared" si="21"/>
        <v>33821.176795696563</v>
      </c>
      <c r="P61" s="37">
        <f t="shared" si="21"/>
        <v>34239.649942181379</v>
      </c>
      <c r="Q61" s="37">
        <f t="shared" si="21"/>
        <v>34656.224796759387</v>
      </c>
      <c r="R61" s="37">
        <f t="shared" si="21"/>
        <v>35070.140430410007</v>
      </c>
      <c r="S61" s="37">
        <f t="shared" si="21"/>
        <v>35440.009803443842</v>
      </c>
      <c r="T61" s="37">
        <f t="shared" si="21"/>
        <v>35799.672333455928</v>
      </c>
      <c r="U61" s="37">
        <f t="shared" si="21"/>
        <v>36149.718408274348</v>
      </c>
      <c r="V61" s="37">
        <f t="shared" si="21"/>
        <v>36485.967667381505</v>
      </c>
      <c r="W61" s="37">
        <f t="shared" si="21"/>
        <v>36801.698398989145</v>
      </c>
      <c r="X61" s="37">
        <f t="shared" si="21"/>
        <v>37094.496772266386</v>
      </c>
      <c r="Y61" s="37">
        <f t="shared" si="21"/>
        <v>37373.773764518628</v>
      </c>
      <c r="Z61" s="37">
        <f t="shared" si="21"/>
        <v>37629.244780784764</v>
      </c>
      <c r="AA61" s="37">
        <f t="shared" si="21"/>
        <v>37860.631530954823</v>
      </c>
      <c r="AB61" s="37">
        <f t="shared" si="21"/>
        <v>38064.053789740174</v>
      </c>
    </row>
    <row r="62" spans="1:28" x14ac:dyDescent="0.25">
      <c r="A62" s="4" t="s">
        <v>219</v>
      </c>
      <c r="B62" s="37">
        <f t="shared" ref="B62:AB62" si="22">B42*B15*$F$8</f>
        <v>11315.929963209786</v>
      </c>
      <c r="C62" s="37">
        <f t="shared" si="22"/>
        <v>11530.375223241566</v>
      </c>
      <c r="D62" s="37">
        <f t="shared" si="22"/>
        <v>11849.57265102812</v>
      </c>
      <c r="E62" s="37">
        <f t="shared" si="22"/>
        <v>12189.311717361274</v>
      </c>
      <c r="F62" s="37">
        <f t="shared" si="22"/>
        <v>12553.475961671447</v>
      </c>
      <c r="G62" s="37">
        <f t="shared" si="22"/>
        <v>12942.207464230134</v>
      </c>
      <c r="H62" s="37">
        <f t="shared" si="22"/>
        <v>13356.775706108168</v>
      </c>
      <c r="I62" s="37">
        <f t="shared" si="22"/>
        <v>13691.370155837027</v>
      </c>
      <c r="J62" s="37">
        <f t="shared" si="22"/>
        <v>14040.266370952126</v>
      </c>
      <c r="K62" s="37">
        <f t="shared" si="22"/>
        <v>14400.632741955995</v>
      </c>
      <c r="L62" s="37">
        <f t="shared" si="22"/>
        <v>14776.128911804484</v>
      </c>
      <c r="M62" s="37">
        <f t="shared" si="22"/>
        <v>15163.878990729461</v>
      </c>
      <c r="N62" s="37">
        <f t="shared" si="22"/>
        <v>15561.968548488192</v>
      </c>
      <c r="O62" s="37">
        <f t="shared" si="22"/>
        <v>15967.686572312214</v>
      </c>
      <c r="P62" s="37">
        <f t="shared" si="22"/>
        <v>16379.631152882759</v>
      </c>
      <c r="Q62" s="37">
        <f t="shared" si="22"/>
        <v>16794.731133456386</v>
      </c>
      <c r="R62" s="37">
        <f t="shared" si="22"/>
        <v>17211.484264814728</v>
      </c>
      <c r="S62" s="37">
        <f t="shared" si="22"/>
        <v>17606.34799075242</v>
      </c>
      <c r="T62" s="37">
        <f t="shared" si="22"/>
        <v>17999.319080732741</v>
      </c>
      <c r="U62" s="37">
        <f t="shared" si="22"/>
        <v>18386.53519337063</v>
      </c>
      <c r="V62" s="37">
        <f t="shared" si="22"/>
        <v>18768.63508438084</v>
      </c>
      <c r="W62" s="37">
        <f t="shared" si="22"/>
        <v>19144.383226508213</v>
      </c>
      <c r="X62" s="37">
        <f t="shared" si="22"/>
        <v>19515.413317886116</v>
      </c>
      <c r="Y62" s="37">
        <f t="shared" si="22"/>
        <v>19880.441568433445</v>
      </c>
      <c r="Z62" s="37">
        <f t="shared" si="22"/>
        <v>20240.070137924846</v>
      </c>
      <c r="AA62" s="37">
        <f t="shared" si="22"/>
        <v>20594.059351050731</v>
      </c>
      <c r="AB62" s="37">
        <f t="shared" si="22"/>
        <v>20940.897823647832</v>
      </c>
    </row>
    <row r="63" spans="1:28" x14ac:dyDescent="0.25">
      <c r="A63" s="4" t="s">
        <v>220</v>
      </c>
      <c r="B63" s="37">
        <f t="shared" ref="B63:AB63" si="23">B43*B15*$F$9</f>
        <v>3572.9094083818068</v>
      </c>
      <c r="C63" s="37">
        <f t="shared" si="23"/>
        <v>3635.521338610858</v>
      </c>
      <c r="D63" s="37">
        <f t="shared" si="23"/>
        <v>3731.7129806365269</v>
      </c>
      <c r="E63" s="37">
        <f t="shared" si="23"/>
        <v>3835.7615061964107</v>
      </c>
      <c r="F63" s="37">
        <f t="shared" si="23"/>
        <v>3941.4167086287885</v>
      </c>
      <c r="G63" s="37">
        <f t="shared" si="23"/>
        <v>4054.3519237312962</v>
      </c>
      <c r="H63" s="37">
        <f t="shared" si="23"/>
        <v>4170.9799873712282</v>
      </c>
      <c r="I63" s="37">
        <f t="shared" si="23"/>
        <v>4257.4688262491572</v>
      </c>
      <c r="J63" s="37">
        <f t="shared" si="23"/>
        <v>4345.791673822906</v>
      </c>
      <c r="K63" s="37">
        <f t="shared" si="23"/>
        <v>4440.6184031362909</v>
      </c>
      <c r="L63" s="37">
        <f t="shared" si="23"/>
        <v>4537.6685966668456</v>
      </c>
      <c r="M63" s="37">
        <f t="shared" si="23"/>
        <v>4638.3197440187741</v>
      </c>
      <c r="N63" s="37">
        <f t="shared" si="23"/>
        <v>4740.5259611416595</v>
      </c>
      <c r="O63" s="37">
        <f t="shared" si="23"/>
        <v>4844.6564594467291</v>
      </c>
      <c r="P63" s="37">
        <f t="shared" si="23"/>
        <v>4951.9743696448877</v>
      </c>
      <c r="Q63" s="37">
        <f t="shared" si="23"/>
        <v>5061.8201520615767</v>
      </c>
      <c r="R63" s="37">
        <f t="shared" si="23"/>
        <v>5173.2191280729348</v>
      </c>
      <c r="S63" s="37">
        <f t="shared" si="23"/>
        <v>5278.4268649685773</v>
      </c>
      <c r="T63" s="37">
        <f t="shared" si="23"/>
        <v>5384.8225882002489</v>
      </c>
      <c r="U63" s="37">
        <f t="shared" si="23"/>
        <v>5490.9894938849975</v>
      </c>
      <c r="V63" s="37">
        <f t="shared" si="23"/>
        <v>5595.3467584456484</v>
      </c>
      <c r="W63" s="37">
        <f t="shared" si="23"/>
        <v>5701.3127905415777</v>
      </c>
      <c r="X63" s="37">
        <f t="shared" si="23"/>
        <v>5806.1337060522173</v>
      </c>
      <c r="Y63" s="37">
        <f t="shared" si="23"/>
        <v>5911.4585283028537</v>
      </c>
      <c r="Z63" s="37">
        <f t="shared" si="23"/>
        <v>6015.0119300648894</v>
      </c>
      <c r="AA63" s="37">
        <f t="shared" si="23"/>
        <v>6117.6788149031881</v>
      </c>
      <c r="AB63" s="37">
        <f t="shared" si="23"/>
        <v>6220.3828179048587</v>
      </c>
    </row>
    <row r="64" spans="1:28" x14ac:dyDescent="0.25">
      <c r="A64" s="4" t="s">
        <v>221</v>
      </c>
      <c r="B64" s="37">
        <f t="shared" ref="B64:AB64" si="24">B44*B15*$F$10</f>
        <v>15414.176508829185</v>
      </c>
      <c r="C64" s="37">
        <f t="shared" si="24"/>
        <v>15886.10752001495</v>
      </c>
      <c r="D64" s="37">
        <f t="shared" si="24"/>
        <v>16501.538747254526</v>
      </c>
      <c r="E64" s="37">
        <f t="shared" si="24"/>
        <v>17135.580325471379</v>
      </c>
      <c r="F64" s="37">
        <f t="shared" si="24"/>
        <v>17788.666866899828</v>
      </c>
      <c r="G64" s="37">
        <f t="shared" si="24"/>
        <v>18463.230850616375</v>
      </c>
      <c r="H64" s="37">
        <f t="shared" si="24"/>
        <v>19165.623366819131</v>
      </c>
      <c r="I64" s="37">
        <f t="shared" si="24"/>
        <v>19743.043680934508</v>
      </c>
      <c r="J64" s="37">
        <f t="shared" si="24"/>
        <v>20335.039933890155</v>
      </c>
      <c r="K64" s="37">
        <f t="shared" si="24"/>
        <v>20946.276693568092</v>
      </c>
      <c r="L64" s="37">
        <f t="shared" si="24"/>
        <v>21580.280954368842</v>
      </c>
      <c r="M64" s="37">
        <f t="shared" si="24"/>
        <v>22231.739042147208</v>
      </c>
      <c r="N64" s="37">
        <f t="shared" si="24"/>
        <v>22906.407769507801</v>
      </c>
      <c r="O64" s="37">
        <f t="shared" si="24"/>
        <v>23600.444009204712</v>
      </c>
      <c r="P64" s="37">
        <f t="shared" si="24"/>
        <v>24312.792335447044</v>
      </c>
      <c r="Q64" s="37">
        <f t="shared" si="24"/>
        <v>25044.514429446208</v>
      </c>
      <c r="R64" s="37">
        <f t="shared" si="24"/>
        <v>25790.553327971382</v>
      </c>
      <c r="S64" s="37">
        <f t="shared" si="24"/>
        <v>26519.746067515745</v>
      </c>
      <c r="T64" s="37">
        <f t="shared" si="24"/>
        <v>27260.892289469342</v>
      </c>
      <c r="U64" s="37">
        <f t="shared" si="24"/>
        <v>28012.133900740599</v>
      </c>
      <c r="V64" s="37">
        <f t="shared" si="24"/>
        <v>28769.710216134481</v>
      </c>
      <c r="W64" s="37">
        <f t="shared" si="24"/>
        <v>29529.637249375221</v>
      </c>
      <c r="X64" s="37">
        <f t="shared" si="24"/>
        <v>30295.473793465906</v>
      </c>
      <c r="Y64" s="37">
        <f t="shared" si="24"/>
        <v>31061.102975480659</v>
      </c>
      <c r="Z64" s="37">
        <f t="shared" si="24"/>
        <v>31826.089914920653</v>
      </c>
      <c r="AA64" s="37">
        <f t="shared" si="24"/>
        <v>32583.277757528816</v>
      </c>
      <c r="AB64" s="37">
        <f t="shared" si="24"/>
        <v>33331.775363006214</v>
      </c>
    </row>
    <row r="65" spans="1:28" x14ac:dyDescent="0.25">
      <c r="A65" s="4" t="s">
        <v>222</v>
      </c>
      <c r="B65" s="37">
        <f t="shared" ref="B65:AB65" si="25">B45*B15*$F$11</f>
        <v>155794.89718464628</v>
      </c>
      <c r="C65" s="37">
        <f t="shared" si="25"/>
        <v>157453.76975898724</v>
      </c>
      <c r="D65" s="37">
        <f t="shared" si="25"/>
        <v>160404.05897775837</v>
      </c>
      <c r="E65" s="37">
        <f t="shared" si="25"/>
        <v>163404.75042026152</v>
      </c>
      <c r="F65" s="37">
        <f t="shared" si="25"/>
        <v>166488.7118757446</v>
      </c>
      <c r="G65" s="37">
        <f t="shared" si="25"/>
        <v>169662.24090715856</v>
      </c>
      <c r="H65" s="37">
        <f t="shared" si="25"/>
        <v>172922.21452394791</v>
      </c>
      <c r="I65" s="37">
        <f t="shared" si="25"/>
        <v>174895.76260621558</v>
      </c>
      <c r="J65" s="37">
        <f t="shared" si="25"/>
        <v>176898.81788406367</v>
      </c>
      <c r="K65" s="37">
        <f t="shared" si="25"/>
        <v>178900.88186936663</v>
      </c>
      <c r="L65" s="37">
        <f t="shared" si="25"/>
        <v>180888.0504145642</v>
      </c>
      <c r="M65" s="37">
        <f t="shared" si="25"/>
        <v>182857.91712117076</v>
      </c>
      <c r="N65" s="37">
        <f t="shared" si="25"/>
        <v>184773.38579327185</v>
      </c>
      <c r="O65" s="37">
        <f t="shared" si="25"/>
        <v>186614.4998647992</v>
      </c>
      <c r="P65" s="37">
        <f t="shared" si="25"/>
        <v>188364.66357529804</v>
      </c>
      <c r="Q65" s="37">
        <f t="shared" si="25"/>
        <v>189992.84045617509</v>
      </c>
      <c r="R65" s="37">
        <f t="shared" si="25"/>
        <v>191480.14106011417</v>
      </c>
      <c r="S65" s="37">
        <f t="shared" si="25"/>
        <v>192583.2070534993</v>
      </c>
      <c r="T65" s="37">
        <f t="shared" si="25"/>
        <v>193513.23455978237</v>
      </c>
      <c r="U65" s="37">
        <f t="shared" si="25"/>
        <v>194268.91791439397</v>
      </c>
      <c r="V65" s="37">
        <f t="shared" si="25"/>
        <v>194803.23355938814</v>
      </c>
      <c r="W65" s="37">
        <f t="shared" si="25"/>
        <v>195105.41628920523</v>
      </c>
      <c r="X65" s="37">
        <f t="shared" si="25"/>
        <v>195172.76721243115</v>
      </c>
      <c r="Y65" s="37">
        <f t="shared" si="25"/>
        <v>195110.27191676601</v>
      </c>
      <c r="Z65" s="37">
        <f t="shared" si="25"/>
        <v>194829.3896008422</v>
      </c>
      <c r="AA65" s="37">
        <f t="shared" si="25"/>
        <v>194327.18513668675</v>
      </c>
      <c r="AB65" s="37">
        <f t="shared" si="25"/>
        <v>193617.24063475794</v>
      </c>
    </row>
    <row r="67" spans="1:28" x14ac:dyDescent="0.25">
      <c r="A67" s="4" t="s">
        <v>328</v>
      </c>
    </row>
    <row r="68" spans="1:28" x14ac:dyDescent="0.25">
      <c r="A68" s="4" t="s">
        <v>329</v>
      </c>
      <c r="B68" s="40">
        <f t="shared" ref="B68:AB68" si="26">B48+B49</f>
        <v>1003.7060834554109</v>
      </c>
      <c r="C68" s="40">
        <f t="shared" si="26"/>
        <v>992.59996214551575</v>
      </c>
      <c r="D68" s="40">
        <f t="shared" si="26"/>
        <v>989.77607958161911</v>
      </c>
      <c r="E68" s="40">
        <f t="shared" si="26"/>
        <v>986.92028761690881</v>
      </c>
      <c r="F68" s="40">
        <f t="shared" si="26"/>
        <v>983.86279461794334</v>
      </c>
      <c r="G68" s="40">
        <f t="shared" si="26"/>
        <v>980.72708647720606</v>
      </c>
      <c r="H68" s="40">
        <f t="shared" si="26"/>
        <v>977.46000810620876</v>
      </c>
      <c r="I68" s="40">
        <f t="shared" si="26"/>
        <v>966.6117351853552</v>
      </c>
      <c r="J68" s="40">
        <f t="shared" si="26"/>
        <v>955.77249731738107</v>
      </c>
      <c r="K68" s="40">
        <f t="shared" si="26"/>
        <v>944.83281308816811</v>
      </c>
      <c r="L68" s="40">
        <f t="shared" si="26"/>
        <v>933.86613862125773</v>
      </c>
      <c r="M68" s="40">
        <f t="shared" si="26"/>
        <v>922.79941539000106</v>
      </c>
      <c r="N68" s="40">
        <f t="shared" si="26"/>
        <v>911.75002690608721</v>
      </c>
      <c r="O68" s="40">
        <f t="shared" si="26"/>
        <v>900.49968554465454</v>
      </c>
      <c r="P68" s="40">
        <f t="shared" si="26"/>
        <v>889.02063357843474</v>
      </c>
      <c r="Q68" s="40">
        <f t="shared" si="26"/>
        <v>877.50343545879764</v>
      </c>
      <c r="R68" s="40">
        <f t="shared" si="26"/>
        <v>865.81387908670558</v>
      </c>
      <c r="S68" s="40">
        <f t="shared" si="26"/>
        <v>853.12632787396592</v>
      </c>
      <c r="T68" s="40">
        <f t="shared" si="26"/>
        <v>840.51476672428953</v>
      </c>
      <c r="U68" s="40">
        <f t="shared" si="26"/>
        <v>828.08557930704023</v>
      </c>
      <c r="V68" s="40">
        <f t="shared" si="26"/>
        <v>815.9415891891731</v>
      </c>
      <c r="W68" s="40">
        <f t="shared" si="26"/>
        <v>804.06444883331005</v>
      </c>
      <c r="X68" s="40">
        <f t="shared" si="26"/>
        <v>792.71962117456496</v>
      </c>
      <c r="Y68" s="40">
        <f t="shared" si="26"/>
        <v>781.73142502448263</v>
      </c>
      <c r="Z68" s="40">
        <f t="shared" si="26"/>
        <v>771.07646266322354</v>
      </c>
      <c r="AA68" s="40">
        <f t="shared" si="26"/>
        <v>760.746959954109</v>
      </c>
      <c r="AB68" s="40">
        <f t="shared" si="26"/>
        <v>750.84730370616739</v>
      </c>
    </row>
    <row r="69" spans="1:28" x14ac:dyDescent="0.25">
      <c r="A69" s="4" t="s">
        <v>330</v>
      </c>
      <c r="B69" s="40">
        <f t="shared" ref="B69:AB69" si="27">B50+B51+B52+B53</f>
        <v>1052.3332565089011</v>
      </c>
      <c r="C69" s="40">
        <f t="shared" si="27"/>
        <v>1040.2496664638866</v>
      </c>
      <c r="D69" s="40">
        <f t="shared" si="27"/>
        <v>1036.8784917079174</v>
      </c>
      <c r="E69" s="40">
        <f t="shared" si="27"/>
        <v>1033.4712565740617</v>
      </c>
      <c r="F69" s="40">
        <f t="shared" si="27"/>
        <v>1029.836455928596</v>
      </c>
      <c r="G69" s="40">
        <f t="shared" si="27"/>
        <v>1026.1322795030826</v>
      </c>
      <c r="H69" s="40">
        <f t="shared" si="27"/>
        <v>1022.2385847202061</v>
      </c>
      <c r="I69" s="40">
        <f t="shared" si="27"/>
        <v>1010.4657273291836</v>
      </c>
      <c r="J69" s="40">
        <f t="shared" si="27"/>
        <v>998.72987121582833</v>
      </c>
      <c r="K69" s="40">
        <f t="shared" si="27"/>
        <v>987.02007528825629</v>
      </c>
      <c r="L69" s="40">
        <f t="shared" si="27"/>
        <v>975.27893144600171</v>
      </c>
      <c r="M69" s="40">
        <f t="shared" si="27"/>
        <v>963.55525192227481</v>
      </c>
      <c r="N69" s="40">
        <f t="shared" si="27"/>
        <v>951.88130673009186</v>
      </c>
      <c r="O69" s="40">
        <f t="shared" si="27"/>
        <v>940.11270654368377</v>
      </c>
      <c r="P69" s="40">
        <f t="shared" si="27"/>
        <v>928.13689118375714</v>
      </c>
      <c r="Q69" s="40">
        <f t="shared" si="27"/>
        <v>916.23363652071623</v>
      </c>
      <c r="R69" s="40">
        <f t="shared" si="27"/>
        <v>904.14911125921856</v>
      </c>
      <c r="S69" s="40">
        <f t="shared" si="27"/>
        <v>891.08284333658048</v>
      </c>
      <c r="T69" s="40">
        <f t="shared" si="27"/>
        <v>878.17617495740376</v>
      </c>
      <c r="U69" s="40">
        <f t="shared" si="27"/>
        <v>865.38114167055733</v>
      </c>
      <c r="V69" s="40">
        <f t="shared" si="27"/>
        <v>852.95019193779262</v>
      </c>
      <c r="W69" s="40">
        <f t="shared" si="27"/>
        <v>840.75727115737425</v>
      </c>
      <c r="X69" s="40">
        <f t="shared" si="27"/>
        <v>829.07756979088049</v>
      </c>
      <c r="Y69" s="40">
        <f t="shared" si="27"/>
        <v>817.8796627345173</v>
      </c>
      <c r="Z69" s="40">
        <f t="shared" si="27"/>
        <v>806.9245836999894</v>
      </c>
      <c r="AA69" s="40">
        <f t="shared" si="27"/>
        <v>796.32135681550733</v>
      </c>
      <c r="AB69" s="40">
        <f t="shared" si="27"/>
        <v>786.11172916177236</v>
      </c>
    </row>
    <row r="70" spans="1:28" x14ac:dyDescent="0.25">
      <c r="A70" s="4" t="s">
        <v>331</v>
      </c>
      <c r="B70" s="40">
        <f t="shared" ref="B70:AB70" si="28">B54+B55</f>
        <v>1006.9448949925837</v>
      </c>
      <c r="C70" s="40">
        <f t="shared" si="28"/>
        <v>995.90030019844221</v>
      </c>
      <c r="D70" s="40">
        <f t="shared" si="28"/>
        <v>993.17072138741116</v>
      </c>
      <c r="E70" s="40">
        <f t="shared" si="28"/>
        <v>990.41427193839161</v>
      </c>
      <c r="F70" s="40">
        <f t="shared" si="28"/>
        <v>987.46747344637845</v>
      </c>
      <c r="G70" s="40">
        <f t="shared" si="28"/>
        <v>984.43190090662824</v>
      </c>
      <c r="H70" s="40">
        <f t="shared" si="28"/>
        <v>981.26403255298942</v>
      </c>
      <c r="I70" s="40">
        <f t="shared" si="28"/>
        <v>970.49133324988111</v>
      </c>
      <c r="J70" s="40">
        <f t="shared" si="28"/>
        <v>959.71576125016395</v>
      </c>
      <c r="K70" s="40">
        <f t="shared" si="28"/>
        <v>948.84312942043584</v>
      </c>
      <c r="L70" s="40">
        <f t="shared" si="28"/>
        <v>937.93068474594975</v>
      </c>
      <c r="M70" s="40">
        <f t="shared" si="28"/>
        <v>926.91898022494001</v>
      </c>
      <c r="N70" s="40">
        <f t="shared" si="28"/>
        <v>915.92438555820002</v>
      </c>
      <c r="O70" s="40">
        <f t="shared" si="28"/>
        <v>904.71015074671527</v>
      </c>
      <c r="P70" s="40">
        <f t="shared" si="28"/>
        <v>893.26624661695712</v>
      </c>
      <c r="Q70" s="40">
        <f t="shared" si="28"/>
        <v>881.77186010290575</v>
      </c>
      <c r="R70" s="40">
        <f t="shared" si="28"/>
        <v>870.09604962226763</v>
      </c>
      <c r="S70" s="40">
        <f t="shared" si="28"/>
        <v>857.41681218324902</v>
      </c>
      <c r="T70" s="40">
        <f t="shared" si="28"/>
        <v>844.80614217555035</v>
      </c>
      <c r="U70" s="40">
        <f t="shared" si="28"/>
        <v>832.3677380975364</v>
      </c>
      <c r="V70" s="40">
        <f t="shared" si="28"/>
        <v>820.21239692410711</v>
      </c>
      <c r="W70" s="40">
        <f t="shared" si="28"/>
        <v>808.3101295855281</v>
      </c>
      <c r="X70" s="40">
        <f t="shared" si="28"/>
        <v>796.95794061572781</v>
      </c>
      <c r="Y70" s="40">
        <f t="shared" si="28"/>
        <v>785.9547653397309</v>
      </c>
      <c r="Z70" s="40">
        <f t="shared" si="28"/>
        <v>775.28819218721492</v>
      </c>
      <c r="AA70" s="40">
        <f t="shared" si="28"/>
        <v>764.94633261383024</v>
      </c>
      <c r="AB70" s="40">
        <f t="shared" si="28"/>
        <v>755.03181071999177</v>
      </c>
    </row>
    <row r="71" spans="1:28" x14ac:dyDescent="0.25">
      <c r="A71" s="4" t="s">
        <v>332</v>
      </c>
      <c r="B71" s="40">
        <f t="shared" ref="B71:AB71" si="29">B58+B59</f>
        <v>171967.48168465169</v>
      </c>
      <c r="C71" s="40">
        <f t="shared" si="29"/>
        <v>174091.97177825973</v>
      </c>
      <c r="D71" s="40">
        <f t="shared" si="29"/>
        <v>177657.1637096412</v>
      </c>
      <c r="E71" s="40">
        <f t="shared" si="29"/>
        <v>181291.75899845408</v>
      </c>
      <c r="F71" s="40">
        <f t="shared" si="29"/>
        <v>185029.59008507972</v>
      </c>
      <c r="G71" s="40">
        <f t="shared" si="29"/>
        <v>188879.39701927642</v>
      </c>
      <c r="H71" s="40">
        <f t="shared" si="29"/>
        <v>192844.38739670967</v>
      </c>
      <c r="I71" s="40">
        <f t="shared" si="29"/>
        <v>195392.86027135848</v>
      </c>
      <c r="J71" s="40">
        <f t="shared" si="29"/>
        <v>197986.3985688696</v>
      </c>
      <c r="K71" s="40">
        <f t="shared" si="29"/>
        <v>200598.39372977486</v>
      </c>
      <c r="L71" s="40">
        <f t="shared" si="29"/>
        <v>203218.31086032535</v>
      </c>
      <c r="M71" s="40">
        <f t="shared" si="29"/>
        <v>205838.53024636058</v>
      </c>
      <c r="N71" s="40">
        <f t="shared" si="29"/>
        <v>208427.01899779349</v>
      </c>
      <c r="O71" s="40">
        <f t="shared" si="29"/>
        <v>210959.69731044577</v>
      </c>
      <c r="P71" s="40">
        <f t="shared" si="29"/>
        <v>213418.93715199962</v>
      </c>
      <c r="Q71" s="40">
        <f t="shared" si="29"/>
        <v>215774.06227945091</v>
      </c>
      <c r="R71" s="40">
        <f t="shared" si="29"/>
        <v>218001.26297402964</v>
      </c>
      <c r="S71" s="40">
        <f t="shared" si="29"/>
        <v>219824.72046616187</v>
      </c>
      <c r="T71" s="40">
        <f t="shared" si="29"/>
        <v>221485.18450495764</v>
      </c>
      <c r="U71" s="40">
        <f t="shared" si="29"/>
        <v>222979.31394071833</v>
      </c>
      <c r="V71" s="40">
        <f t="shared" si="29"/>
        <v>224256.07277976262</v>
      </c>
      <c r="W71" s="40">
        <f t="shared" si="29"/>
        <v>225300.33996332198</v>
      </c>
      <c r="X71" s="40">
        <f t="shared" si="29"/>
        <v>226113.00533562724</v>
      </c>
      <c r="Y71" s="40">
        <f t="shared" si="29"/>
        <v>226794.17553848005</v>
      </c>
      <c r="Z71" s="40">
        <f t="shared" si="29"/>
        <v>227254.00017542287</v>
      </c>
      <c r="AA71" s="40">
        <f t="shared" si="29"/>
        <v>227482.26431201672</v>
      </c>
      <c r="AB71" s="40">
        <f t="shared" si="29"/>
        <v>227491.69472416164</v>
      </c>
    </row>
    <row r="72" spans="1:28" x14ac:dyDescent="0.25">
      <c r="A72" s="4" t="s">
        <v>333</v>
      </c>
      <c r="B72" s="40">
        <f t="shared" ref="B72:AB72" si="30">B60+B61+B62+B63</f>
        <v>168737.9781985298</v>
      </c>
      <c r="C72" s="40">
        <f t="shared" si="30"/>
        <v>170841.26785982648</v>
      </c>
      <c r="D72" s="40">
        <f t="shared" si="30"/>
        <v>174362.89535721982</v>
      </c>
      <c r="E72" s="40">
        <f t="shared" si="30"/>
        <v>177957.37730512497</v>
      </c>
      <c r="F72" s="40">
        <f t="shared" si="30"/>
        <v>181659.70455315497</v>
      </c>
      <c r="G72" s="40">
        <f t="shared" si="30"/>
        <v>185478.09045284567</v>
      </c>
      <c r="H72" s="40">
        <f t="shared" si="30"/>
        <v>189415.63655027805</v>
      </c>
      <c r="I72" s="40">
        <f t="shared" si="30"/>
        <v>191969.31955740633</v>
      </c>
      <c r="J72" s="40">
        <f t="shared" si="30"/>
        <v>194572.15333145674</v>
      </c>
      <c r="K72" s="40">
        <f t="shared" si="30"/>
        <v>197198.571595455</v>
      </c>
      <c r="L72" s="40">
        <f t="shared" si="30"/>
        <v>199840.56870935266</v>
      </c>
      <c r="M72" s="40">
        <f t="shared" si="30"/>
        <v>202489.60258759308</v>
      </c>
      <c r="N72" s="40">
        <f t="shared" si="30"/>
        <v>205116.579281218</v>
      </c>
      <c r="O72" s="40">
        <f t="shared" si="30"/>
        <v>207696.24370533237</v>
      </c>
      <c r="P72" s="40">
        <f t="shared" si="30"/>
        <v>210213.11339817668</v>
      </c>
      <c r="Q72" s="40">
        <f t="shared" si="30"/>
        <v>212636.42334614618</v>
      </c>
      <c r="R72" s="40">
        <f t="shared" si="30"/>
        <v>214943.69273114772</v>
      </c>
      <c r="S72" s="40">
        <f t="shared" si="30"/>
        <v>216863.42831464441</v>
      </c>
      <c r="T72" s="40">
        <f t="shared" si="30"/>
        <v>218631.94799814402</v>
      </c>
      <c r="U72" s="40">
        <f t="shared" si="30"/>
        <v>220245.00298217178</v>
      </c>
      <c r="V72" s="40">
        <f t="shared" si="30"/>
        <v>221655.46112112352</v>
      </c>
      <c r="W72" s="40">
        <f t="shared" si="30"/>
        <v>222847.44105976392</v>
      </c>
      <c r="X72" s="40">
        <f t="shared" si="30"/>
        <v>223821.54867951083</v>
      </c>
      <c r="Y72" s="40">
        <f t="shared" si="30"/>
        <v>224670.46487267586</v>
      </c>
      <c r="Z72" s="40">
        <f t="shared" si="30"/>
        <v>225310.23678596452</v>
      </c>
      <c r="AA72" s="40">
        <f t="shared" si="30"/>
        <v>225731.76396222488</v>
      </c>
      <c r="AB72" s="40">
        <f t="shared" si="30"/>
        <v>225944.81621368846</v>
      </c>
    </row>
    <row r="73" spans="1:28" x14ac:dyDescent="0.25">
      <c r="A73" s="4" t="s">
        <v>334</v>
      </c>
      <c r="B73" s="40">
        <f t="shared" ref="B73:AB73" si="31">B64+B65</f>
        <v>171209.07369347545</v>
      </c>
      <c r="C73" s="40">
        <f t="shared" si="31"/>
        <v>173339.87727900219</v>
      </c>
      <c r="D73" s="40">
        <f t="shared" si="31"/>
        <v>176905.59772501289</v>
      </c>
      <c r="E73" s="40">
        <f t="shared" si="31"/>
        <v>180540.33074573291</v>
      </c>
      <c r="F73" s="40">
        <f t="shared" si="31"/>
        <v>184277.37874264442</v>
      </c>
      <c r="G73" s="40">
        <f t="shared" si="31"/>
        <v>188125.47175777494</v>
      </c>
      <c r="H73" s="40">
        <f t="shared" si="31"/>
        <v>192087.83789076706</v>
      </c>
      <c r="I73" s="40">
        <f t="shared" si="31"/>
        <v>194638.80628715007</v>
      </c>
      <c r="J73" s="40">
        <f t="shared" si="31"/>
        <v>197233.85781795383</v>
      </c>
      <c r="K73" s="40">
        <f t="shared" si="31"/>
        <v>199847.15856293472</v>
      </c>
      <c r="L73" s="40">
        <f t="shared" si="31"/>
        <v>202468.33136893305</v>
      </c>
      <c r="M73" s="40">
        <f t="shared" si="31"/>
        <v>205089.65616331797</v>
      </c>
      <c r="N73" s="40">
        <f t="shared" si="31"/>
        <v>207679.79356277967</v>
      </c>
      <c r="O73" s="40">
        <f t="shared" si="31"/>
        <v>210214.94387400392</v>
      </c>
      <c r="P73" s="40">
        <f t="shared" si="31"/>
        <v>212677.45591074508</v>
      </c>
      <c r="Q73" s="40">
        <f t="shared" si="31"/>
        <v>215037.35488562129</v>
      </c>
      <c r="R73" s="40">
        <f t="shared" si="31"/>
        <v>217270.69438808554</v>
      </c>
      <c r="S73" s="40">
        <f t="shared" si="31"/>
        <v>219102.95312101505</v>
      </c>
      <c r="T73" s="40">
        <f t="shared" si="31"/>
        <v>220774.12684925171</v>
      </c>
      <c r="U73" s="40">
        <f t="shared" si="31"/>
        <v>222281.05181513456</v>
      </c>
      <c r="V73" s="40">
        <f t="shared" si="31"/>
        <v>223572.94377552264</v>
      </c>
      <c r="W73" s="40">
        <f t="shared" si="31"/>
        <v>224635.05353858045</v>
      </c>
      <c r="X73" s="40">
        <f t="shared" si="31"/>
        <v>225468.24100589706</v>
      </c>
      <c r="Y73" s="40">
        <f t="shared" si="31"/>
        <v>226171.37489224668</v>
      </c>
      <c r="Z73" s="40">
        <f t="shared" si="31"/>
        <v>226655.47951576285</v>
      </c>
      <c r="AA73" s="40">
        <f t="shared" si="31"/>
        <v>226910.46289421557</v>
      </c>
      <c r="AB73" s="40">
        <f t="shared" si="31"/>
        <v>226949.01599776416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551.233628908377</v>
      </c>
      <c r="C2" s="37">
        <f>BDbDT_calcs!C48</f>
        <v>544.61946146931484</v>
      </c>
      <c r="D2" s="37">
        <f>BDbDT_calcs!D48</f>
        <v>542.5234917064181</v>
      </c>
      <c r="E2" s="37">
        <f>BDbDT_calcs!E48</f>
        <v>540.43888291494238</v>
      </c>
      <c r="F2" s="37">
        <f>BDbDT_calcs!F48</f>
        <v>538.25278967810527</v>
      </c>
      <c r="G2" s="37">
        <f>BDbDT_calcs!G48</f>
        <v>535.96604286425713</v>
      </c>
      <c r="H2" s="37">
        <f>BDbDT_calcs!H48</f>
        <v>533.58222717966987</v>
      </c>
      <c r="I2" s="37">
        <f>BDbDT_calcs!I48</f>
        <v>527.30686119210509</v>
      </c>
      <c r="J2" s="37">
        <f>BDbDT_calcs!J48</f>
        <v>520.75120558802905</v>
      </c>
      <c r="K2" s="37">
        <f>BDbDT_calcs!K48</f>
        <v>514.37003128801609</v>
      </c>
      <c r="L2" s="37">
        <f>BDbDT_calcs!L48</f>
        <v>507.75028590554098</v>
      </c>
      <c r="M2" s="37">
        <f>BDbDT_calcs!M48</f>
        <v>501.30336084204407</v>
      </c>
      <c r="N2" s="37">
        <f>BDbDT_calcs!N48</f>
        <v>495.08495340045386</v>
      </c>
      <c r="O2" s="37">
        <f>BDbDT_calcs!O48</f>
        <v>488.27597584923393</v>
      </c>
      <c r="P2" s="37">
        <f>BDbDT_calcs!P48</f>
        <v>481.75081466773071</v>
      </c>
      <c r="Q2" s="37">
        <f>BDbDT_calcs!Q48</f>
        <v>474.98207476809841</v>
      </c>
      <c r="R2" s="37">
        <f>BDbDT_calcs!R48</f>
        <v>468.25701896660894</v>
      </c>
      <c r="S2" s="37">
        <f>BDbDT_calcs!S48</f>
        <v>460.91466530932092</v>
      </c>
      <c r="T2" s="37">
        <f>BDbDT_calcs!T48</f>
        <v>453.68024378165546</v>
      </c>
      <c r="U2" s="37">
        <f>BDbDT_calcs!U48</f>
        <v>446.54661344172484</v>
      </c>
      <c r="V2" s="37">
        <f>BDbDT_calcs!V48</f>
        <v>439.50543905761555</v>
      </c>
      <c r="W2" s="37">
        <f>BDbDT_calcs!W48</f>
        <v>432.60517376927868</v>
      </c>
      <c r="X2" s="37">
        <f>BDbDT_calcs!X48</f>
        <v>426.2359960808638</v>
      </c>
      <c r="Y2" s="37">
        <f>BDbDT_calcs!Y48</f>
        <v>419.93387336062892</v>
      </c>
      <c r="Z2" s="37">
        <f>BDbDT_calcs!Z48</f>
        <v>413.97523777129351</v>
      </c>
      <c r="AA2" s="37">
        <f>BDbDT_calcs!AA48</f>
        <v>408.12467011400412</v>
      </c>
      <c r="AB2" s="37">
        <f>BDbDT_calcs!AB48</f>
        <v>402.31869112742089</v>
      </c>
    </row>
    <row r="3" spans="1:28" x14ac:dyDescent="0.25">
      <c r="A3" s="4" t="s">
        <v>216</v>
      </c>
      <c r="B3" s="37">
        <f>BDbDT_calcs!B49</f>
        <v>452.47245454703392</v>
      </c>
      <c r="C3" s="37">
        <f>BDbDT_calcs!C49</f>
        <v>447.98050067620096</v>
      </c>
      <c r="D3" s="37">
        <f>BDbDT_calcs!D49</f>
        <v>447.25258787520096</v>
      </c>
      <c r="E3" s="37">
        <f>BDbDT_calcs!E49</f>
        <v>446.48140470196637</v>
      </c>
      <c r="F3" s="37">
        <f>BDbDT_calcs!F49</f>
        <v>445.61000493983812</v>
      </c>
      <c r="G3" s="37">
        <f>BDbDT_calcs!G49</f>
        <v>444.76104361294887</v>
      </c>
      <c r="H3" s="37">
        <f>BDbDT_calcs!H49</f>
        <v>443.87778092653889</v>
      </c>
      <c r="I3" s="37">
        <f>BDbDT_calcs!I49</f>
        <v>439.30487399325017</v>
      </c>
      <c r="J3" s="37">
        <f>BDbDT_calcs!J49</f>
        <v>435.02129172935201</v>
      </c>
      <c r="K3" s="37">
        <f>BDbDT_calcs!K49</f>
        <v>430.46278180015202</v>
      </c>
      <c r="L3" s="37">
        <f>BDbDT_calcs!L49</f>
        <v>426.11585271571676</v>
      </c>
      <c r="M3" s="37">
        <f>BDbDT_calcs!M49</f>
        <v>421.49605454795693</v>
      </c>
      <c r="N3" s="37">
        <f>BDbDT_calcs!N49</f>
        <v>416.66507350563342</v>
      </c>
      <c r="O3" s="37">
        <f>BDbDT_calcs!O49</f>
        <v>412.22370969542067</v>
      </c>
      <c r="P3" s="37">
        <f>BDbDT_calcs!P49</f>
        <v>407.26981891070403</v>
      </c>
      <c r="Q3" s="37">
        <f>BDbDT_calcs!Q49</f>
        <v>402.52136069069928</v>
      </c>
      <c r="R3" s="37">
        <f>BDbDT_calcs!R49</f>
        <v>397.55686012009659</v>
      </c>
      <c r="S3" s="37">
        <f>BDbDT_calcs!S49</f>
        <v>392.21166256464494</v>
      </c>
      <c r="T3" s="37">
        <f>BDbDT_calcs!T49</f>
        <v>386.83452294263407</v>
      </c>
      <c r="U3" s="37">
        <f>BDbDT_calcs!U49</f>
        <v>381.53896586531545</v>
      </c>
      <c r="V3" s="37">
        <f>BDbDT_calcs!V49</f>
        <v>376.43615013155761</v>
      </c>
      <c r="W3" s="37">
        <f>BDbDT_calcs!W49</f>
        <v>371.45927506403137</v>
      </c>
      <c r="X3" s="37">
        <f>BDbDT_calcs!X49</f>
        <v>366.48362509370122</v>
      </c>
      <c r="Y3" s="37">
        <f>BDbDT_calcs!Y49</f>
        <v>361.79755166385371</v>
      </c>
      <c r="Z3" s="37">
        <f>BDbDT_calcs!Z49</f>
        <v>357.10122489193003</v>
      </c>
      <c r="AA3" s="37">
        <f>BDbDT_calcs!AA49</f>
        <v>352.62228984010488</v>
      </c>
      <c r="AB3" s="37">
        <f>BDbDT_calcs!AB49</f>
        <v>348.52861257874656</v>
      </c>
    </row>
    <row r="4" spans="1:28" x14ac:dyDescent="0.25">
      <c r="A4" s="4" t="s">
        <v>217</v>
      </c>
      <c r="B4" s="37">
        <f>BDbDT_calcs!B50</f>
        <v>529.25473150125583</v>
      </c>
      <c r="C4" s="37">
        <f>BDbDT_calcs!C50</f>
        <v>523.40520719351184</v>
      </c>
      <c r="D4" s="37">
        <f>BDbDT_calcs!D50</f>
        <v>522.00748557954398</v>
      </c>
      <c r="E4" s="37">
        <f>BDbDT_calcs!E50</f>
        <v>520.51782797405247</v>
      </c>
      <c r="F4" s="37">
        <f>BDbDT_calcs!F50</f>
        <v>518.99415298185249</v>
      </c>
      <c r="G4" s="37">
        <f>BDbDT_calcs!G50</f>
        <v>517.49245581332821</v>
      </c>
      <c r="H4" s="37">
        <f>BDbDT_calcs!H50</f>
        <v>515.79968177857666</v>
      </c>
      <c r="I4" s="37">
        <f>BDbDT_calcs!I50</f>
        <v>510.22791463910983</v>
      </c>
      <c r="J4" s="37">
        <f>BDbDT_calcs!J50</f>
        <v>504.51105850124463</v>
      </c>
      <c r="K4" s="37">
        <f>BDbDT_calcs!K50</f>
        <v>498.68612872482061</v>
      </c>
      <c r="L4" s="37">
        <f>BDbDT_calcs!L50</f>
        <v>492.70022659094496</v>
      </c>
      <c r="M4" s="37">
        <f>BDbDT_calcs!M50</f>
        <v>486.55419233801803</v>
      </c>
      <c r="N4" s="37">
        <f>BDbDT_calcs!N50</f>
        <v>480.24814401258595</v>
      </c>
      <c r="O4" s="37">
        <f>BDbDT_calcs!O50</f>
        <v>473.62169253999417</v>
      </c>
      <c r="P4" s="37">
        <f>BDbDT_calcs!P50</f>
        <v>466.88820037614278</v>
      </c>
      <c r="Q4" s="37">
        <f>BDbDT_calcs!Q50</f>
        <v>459.99193967855331</v>
      </c>
      <c r="R4" s="37">
        <f>BDbDT_calcs!R50</f>
        <v>452.93003705221759</v>
      </c>
      <c r="S4" s="37">
        <f>BDbDT_calcs!S50</f>
        <v>445.28257088644148</v>
      </c>
      <c r="T4" s="37">
        <f>BDbDT_calcs!T50</f>
        <v>437.7425893179838</v>
      </c>
      <c r="U4" s="37">
        <f>BDbDT_calcs!U50</f>
        <v>430.30294043913278</v>
      </c>
      <c r="V4" s="37">
        <f>BDbDT_calcs!V50</f>
        <v>423.00784695342566</v>
      </c>
      <c r="W4" s="37">
        <f>BDbDT_calcs!W50</f>
        <v>415.95308527819822</v>
      </c>
      <c r="X4" s="37">
        <f>BDbDT_calcs!X50</f>
        <v>409.18148221540417</v>
      </c>
      <c r="Y4" s="37">
        <f>BDbDT_calcs!Y50</f>
        <v>402.58152528996419</v>
      </c>
      <c r="Z4" s="37">
        <f>BDbDT_calcs!Z50</f>
        <v>396.19733045841019</v>
      </c>
      <c r="AA4" s="37">
        <f>BDbDT_calcs!AA50</f>
        <v>390.12481797069307</v>
      </c>
      <c r="AB4" s="37">
        <f>BDbDT_calcs!AB50</f>
        <v>384.25232978379682</v>
      </c>
    </row>
    <row r="5" spans="1:28" x14ac:dyDescent="0.25">
      <c r="A5" s="4" t="s">
        <v>218</v>
      </c>
      <c r="B5" s="37">
        <f>BDbDT_calcs!B51</f>
        <v>362.08997213268344</v>
      </c>
      <c r="C5" s="37">
        <f>BDbDT_calcs!C51</f>
        <v>355.61030233947332</v>
      </c>
      <c r="D5" s="37">
        <f>BDbDT_calcs!D51</f>
        <v>352.19770547712733</v>
      </c>
      <c r="E5" s="37">
        <f>BDbDT_calcs!E51</f>
        <v>348.62102807398617</v>
      </c>
      <c r="F5" s="37">
        <f>BDbDT_calcs!F51</f>
        <v>344.8811910531042</v>
      </c>
      <c r="G5" s="37">
        <f>BDbDT_calcs!G51</f>
        <v>341.1336808947749</v>
      </c>
      <c r="H5" s="37">
        <f>BDbDT_calcs!H51</f>
        <v>337.14512273831531</v>
      </c>
      <c r="I5" s="37">
        <f>BDbDT_calcs!I51</f>
        <v>330.66172709427843</v>
      </c>
      <c r="J5" s="37">
        <f>BDbDT_calcs!J51</f>
        <v>324.27896372103663</v>
      </c>
      <c r="K5" s="37">
        <f>BDbDT_calcs!K51</f>
        <v>317.98270242016298</v>
      </c>
      <c r="L5" s="37">
        <f>BDbDT_calcs!L51</f>
        <v>311.92626490090788</v>
      </c>
      <c r="M5" s="37">
        <f>BDbDT_calcs!M51</f>
        <v>306.18359709944059</v>
      </c>
      <c r="N5" s="37">
        <f>BDbDT_calcs!N51</f>
        <v>300.51883841677403</v>
      </c>
      <c r="O5" s="37">
        <f>BDbDT_calcs!O51</f>
        <v>295.16080794254788</v>
      </c>
      <c r="P5" s="37">
        <f>BDbDT_calcs!P51</f>
        <v>289.87475890576053</v>
      </c>
      <c r="Q5" s="37">
        <f>BDbDT_calcs!Q51</f>
        <v>284.81101708284422</v>
      </c>
      <c r="R5" s="37">
        <f>BDbDT_calcs!R51</f>
        <v>279.88883917657864</v>
      </c>
      <c r="S5" s="37">
        <f>BDbDT_calcs!S51</f>
        <v>274.70568856706223</v>
      </c>
      <c r="T5" s="37">
        <f>BDbDT_calcs!T51</f>
        <v>269.66763676852901</v>
      </c>
      <c r="U5" s="37">
        <f>BDbDT_calcs!U51</f>
        <v>264.69355892053102</v>
      </c>
      <c r="V5" s="37">
        <f>BDbDT_calcs!V51</f>
        <v>259.92957427563681</v>
      </c>
      <c r="W5" s="37">
        <f>BDbDT_calcs!W51</f>
        <v>255.14261568896998</v>
      </c>
      <c r="X5" s="37">
        <f>BDbDT_calcs!X51</f>
        <v>250.55399778348706</v>
      </c>
      <c r="Y5" s="37">
        <f>BDbDT_calcs!Y51</f>
        <v>246.23414807568844</v>
      </c>
      <c r="Z5" s="37">
        <f>BDbDT_calcs!Z51</f>
        <v>241.95205615655706</v>
      </c>
      <c r="AA5" s="37">
        <f>BDbDT_calcs!AA51</f>
        <v>237.85310846093591</v>
      </c>
      <c r="AB5" s="37">
        <f>BDbDT_calcs!AB51</f>
        <v>233.78299195849212</v>
      </c>
    </row>
    <row r="6" spans="1:28" x14ac:dyDescent="0.25">
      <c r="A6" s="4" t="s">
        <v>219</v>
      </c>
      <c r="B6" s="37">
        <f>BDbDT_calcs!B52</f>
        <v>79.957126195691743</v>
      </c>
      <c r="C6" s="37">
        <f>BDbDT_calcs!C52</f>
        <v>79.875596870485666</v>
      </c>
      <c r="D6" s="37">
        <f>BDbDT_calcs!D52</f>
        <v>80.464758912587769</v>
      </c>
      <c r="E6" s="37">
        <f>BDbDT_calcs!E52</f>
        <v>81.155858048949867</v>
      </c>
      <c r="F6" s="37">
        <f>BDbDT_calcs!F52</f>
        <v>81.857479554524375</v>
      </c>
      <c r="G6" s="37">
        <f>BDbDT_calcs!G52</f>
        <v>82.570261591701666</v>
      </c>
      <c r="H6" s="37">
        <f>BDbDT_calcs!H52</f>
        <v>83.295310845123083</v>
      </c>
      <c r="I6" s="37">
        <f>BDbDT_calcs!I52</f>
        <v>83.385942832808809</v>
      </c>
      <c r="J6" s="37">
        <f>BDbDT_calcs!J52</f>
        <v>83.490465152021841</v>
      </c>
      <c r="K6" s="37">
        <f>BDbDT_calcs!K52</f>
        <v>83.793040708458392</v>
      </c>
      <c r="L6" s="37">
        <f>BDbDT_calcs!L52</f>
        <v>83.919820915740615</v>
      </c>
      <c r="M6" s="37">
        <f>BDbDT_calcs!M52</f>
        <v>84.058523490957072</v>
      </c>
      <c r="N6" s="37">
        <f>BDbDT_calcs!N52</f>
        <v>84.209385480615794</v>
      </c>
      <c r="O6" s="37">
        <f>BDbDT_calcs!O52</f>
        <v>84.372654427248875</v>
      </c>
      <c r="P6" s="37">
        <f>BDbDT_calcs!P52</f>
        <v>84.456277398047902</v>
      </c>
      <c r="Q6" s="37">
        <f>BDbDT_calcs!Q52</f>
        <v>84.644833997731325</v>
      </c>
      <c r="R6" s="37">
        <f>BDbDT_calcs!R52</f>
        <v>84.662148710562789</v>
      </c>
      <c r="S6" s="37">
        <f>BDbDT_calcs!S52</f>
        <v>84.684636899652588</v>
      </c>
      <c r="T6" s="37">
        <f>BDbDT_calcs!T52</f>
        <v>84.810295219163521</v>
      </c>
      <c r="U6" s="37">
        <f>BDbDT_calcs!U52</f>
        <v>84.764562135561278</v>
      </c>
      <c r="V6" s="37">
        <f>BDbDT_calcs!V52</f>
        <v>84.820343293503697</v>
      </c>
      <c r="W6" s="37">
        <f>BDbDT_calcs!W52</f>
        <v>84.885233495666341</v>
      </c>
      <c r="X6" s="37">
        <f>BDbDT_calcs!X52</f>
        <v>84.867699308530135</v>
      </c>
      <c r="Y6" s="37">
        <f>BDbDT_calcs!Y52</f>
        <v>85.038154374924545</v>
      </c>
      <c r="Z6" s="37">
        <f>BDbDT_calcs!Z52</f>
        <v>85.034371786632263</v>
      </c>
      <c r="AA6" s="37">
        <f>BDbDT_calcs!AA52</f>
        <v>85.035968542785071</v>
      </c>
      <c r="AB6" s="37">
        <f>BDbDT_calcs!AB52</f>
        <v>85.041817303032275</v>
      </c>
    </row>
    <row r="7" spans="1:28" x14ac:dyDescent="0.25">
      <c r="A7" s="4" t="s">
        <v>220</v>
      </c>
      <c r="B7" s="37">
        <f>BDbDT_calcs!B53</f>
        <v>81.031426679270055</v>
      </c>
      <c r="C7" s="37">
        <f>BDbDT_calcs!C53</f>
        <v>81.358560060415769</v>
      </c>
      <c r="D7" s="37">
        <f>BDbDT_calcs!D53</f>
        <v>82.208541738658312</v>
      </c>
      <c r="E7" s="37">
        <f>BDbDT_calcs!E53</f>
        <v>83.176542477073156</v>
      </c>
      <c r="F7" s="37">
        <f>BDbDT_calcs!F53</f>
        <v>84.103632339114895</v>
      </c>
      <c r="G7" s="37">
        <f>BDbDT_calcs!G53</f>
        <v>84.935881203277958</v>
      </c>
      <c r="H7" s="37">
        <f>BDbDT_calcs!H53</f>
        <v>85.998469358191002</v>
      </c>
      <c r="I7" s="37">
        <f>BDbDT_calcs!I53</f>
        <v>86.190142762986355</v>
      </c>
      <c r="J7" s="37">
        <f>BDbDT_calcs!J53</f>
        <v>86.449383841525048</v>
      </c>
      <c r="K7" s="37">
        <f>BDbDT_calcs!K53</f>
        <v>86.558203434814217</v>
      </c>
      <c r="L7" s="37">
        <f>BDbDT_calcs!L53</f>
        <v>86.732619038408231</v>
      </c>
      <c r="M7" s="37">
        <f>BDbDT_calcs!M53</f>
        <v>86.758938993859161</v>
      </c>
      <c r="N7" s="37">
        <f>BDbDT_calcs!N53</f>
        <v>86.90493882011603</v>
      </c>
      <c r="O7" s="37">
        <f>BDbDT_calcs!O53</f>
        <v>86.957551633892848</v>
      </c>
      <c r="P7" s="37">
        <f>BDbDT_calcs!P53</f>
        <v>86.917654503805991</v>
      </c>
      <c r="Q7" s="37">
        <f>BDbDT_calcs!Q53</f>
        <v>86.785845761587325</v>
      </c>
      <c r="R7" s="37">
        <f>BDbDT_calcs!R53</f>
        <v>86.668086319859597</v>
      </c>
      <c r="S7" s="37">
        <f>BDbDT_calcs!S53</f>
        <v>86.409946983424263</v>
      </c>
      <c r="T7" s="37">
        <f>BDbDT_calcs!T53</f>
        <v>85.955653651727417</v>
      </c>
      <c r="U7" s="37">
        <f>BDbDT_calcs!U53</f>
        <v>85.62008017533222</v>
      </c>
      <c r="V7" s="37">
        <f>BDbDT_calcs!V53</f>
        <v>85.19242741522649</v>
      </c>
      <c r="W7" s="37">
        <f>BDbDT_calcs!W53</f>
        <v>84.776336694539779</v>
      </c>
      <c r="X7" s="37">
        <f>BDbDT_calcs!X53</f>
        <v>84.474390483459104</v>
      </c>
      <c r="Y7" s="37">
        <f>BDbDT_calcs!Y53</f>
        <v>84.025834993940165</v>
      </c>
      <c r="Z7" s="37">
        <f>BDbDT_calcs!Z53</f>
        <v>83.740825298389865</v>
      </c>
      <c r="AA7" s="37">
        <f>BDbDT_calcs!AA53</f>
        <v>83.307461841093343</v>
      </c>
      <c r="AB7" s="37">
        <f>BDbDT_calcs!AB53</f>
        <v>83.034590116451071</v>
      </c>
    </row>
    <row r="8" spans="1:28" x14ac:dyDescent="0.25">
      <c r="A8" s="4" t="s">
        <v>221</v>
      </c>
      <c r="B8" s="37">
        <f>BDbDT_calcs!B54</f>
        <v>236.7381821360826</v>
      </c>
      <c r="C8" s="37">
        <f>BDbDT_calcs!C54</f>
        <v>236.65734564923454</v>
      </c>
      <c r="D8" s="37">
        <f>BDbDT_calcs!D54</f>
        <v>238.68674395611484</v>
      </c>
      <c r="E8" s="37">
        <f>BDbDT_calcs!E54</f>
        <v>240.80618774634434</v>
      </c>
      <c r="F8" s="37">
        <f>BDbDT_calcs!F54</f>
        <v>243.1436739771508</v>
      </c>
      <c r="G8" s="37">
        <f>BDbDT_calcs!G54</f>
        <v>245.2669990488574</v>
      </c>
      <c r="H8" s="37">
        <f>BDbDT_calcs!H54</f>
        <v>247.36420540342669</v>
      </c>
      <c r="I8" s="37">
        <f>BDbDT_calcs!I54</f>
        <v>247.51493003864132</v>
      </c>
      <c r="J8" s="37">
        <f>BDbDT_calcs!J54</f>
        <v>247.58329044583306</v>
      </c>
      <c r="K8" s="37">
        <f>BDbDT_calcs!K54</f>
        <v>247.5624625198829</v>
      </c>
      <c r="L8" s="37">
        <f>BDbDT_calcs!L54</f>
        <v>247.39266446494707</v>
      </c>
      <c r="M8" s="37">
        <f>BDbDT_calcs!M54</f>
        <v>247.07617377286857</v>
      </c>
      <c r="N8" s="37">
        <f>BDbDT_calcs!N54</f>
        <v>246.61486643179072</v>
      </c>
      <c r="O8" s="37">
        <f>BDbDT_calcs!O54</f>
        <v>246.0104601542678</v>
      </c>
      <c r="P8" s="37">
        <f>BDbDT_calcs!P54</f>
        <v>245.08061308318065</v>
      </c>
      <c r="Q8" s="37">
        <f>BDbDT_calcs!Q54</f>
        <v>244.0102591324555</v>
      </c>
      <c r="R8" s="37">
        <f>BDbDT_calcs!R54</f>
        <v>242.61660400403153</v>
      </c>
      <c r="S8" s="37">
        <f>BDbDT_calcs!S54</f>
        <v>240.98254310615471</v>
      </c>
      <c r="T8" s="37">
        <f>BDbDT_calcs!T54</f>
        <v>239.14976788540125</v>
      </c>
      <c r="U8" s="37">
        <f>BDbDT_calcs!U54</f>
        <v>237.11750522364906</v>
      </c>
      <c r="V8" s="37">
        <f>BDbDT_calcs!V54</f>
        <v>235.12514492940966</v>
      </c>
      <c r="W8" s="37">
        <f>BDbDT_calcs!W54</f>
        <v>232.86811625220713</v>
      </c>
      <c r="X8" s="37">
        <f>BDbDT_calcs!X54</f>
        <v>230.94445675214482</v>
      </c>
      <c r="Y8" s="37">
        <f>BDbDT_calcs!Y54</f>
        <v>228.99029426230072</v>
      </c>
      <c r="Z8" s="37">
        <f>BDbDT_calcs!Z54</f>
        <v>227.06217204634274</v>
      </c>
      <c r="AA8" s="37">
        <f>BDbDT_calcs!AA54</f>
        <v>225.2161612895994</v>
      </c>
      <c r="AB8" s="37">
        <f>BDbDT_calcs!AB54</f>
        <v>223.50799976121473</v>
      </c>
    </row>
    <row r="9" spans="1:28" x14ac:dyDescent="0.25">
      <c r="A9" s="4" t="s">
        <v>222</v>
      </c>
      <c r="B9" s="37">
        <f>BDbDT_calcs!B55</f>
        <v>770.2067128565011</v>
      </c>
      <c r="C9" s="37">
        <f>BDbDT_calcs!C55</f>
        <v>759.24295454920764</v>
      </c>
      <c r="D9" s="37">
        <f>BDbDT_calcs!D55</f>
        <v>754.48397743129635</v>
      </c>
      <c r="E9" s="37">
        <f>BDbDT_calcs!E55</f>
        <v>749.60808419204727</v>
      </c>
      <c r="F9" s="37">
        <f>BDbDT_calcs!F55</f>
        <v>744.32379946922765</v>
      </c>
      <c r="G9" s="37">
        <f>BDbDT_calcs!G55</f>
        <v>739.16490185777081</v>
      </c>
      <c r="H9" s="37">
        <f>BDbDT_calcs!H55</f>
        <v>733.89982714956273</v>
      </c>
      <c r="I9" s="37">
        <f>BDbDT_calcs!I55</f>
        <v>722.97640321123981</v>
      </c>
      <c r="J9" s="37">
        <f>BDbDT_calcs!J55</f>
        <v>712.13247080433086</v>
      </c>
      <c r="K9" s="37">
        <f>BDbDT_calcs!K55</f>
        <v>701.28066690055289</v>
      </c>
      <c r="L9" s="37">
        <f>BDbDT_calcs!L55</f>
        <v>690.53802028100267</v>
      </c>
      <c r="M9" s="37">
        <f>BDbDT_calcs!M55</f>
        <v>679.84280645207139</v>
      </c>
      <c r="N9" s="37">
        <f>BDbDT_calcs!N55</f>
        <v>669.30951912640933</v>
      </c>
      <c r="O9" s="37">
        <f>BDbDT_calcs!O55</f>
        <v>658.6996905924475</v>
      </c>
      <c r="P9" s="37">
        <f>BDbDT_calcs!P55</f>
        <v>648.18563353377647</v>
      </c>
      <c r="Q9" s="37">
        <f>BDbDT_calcs!Q55</f>
        <v>637.76160097045022</v>
      </c>
      <c r="R9" s="37">
        <f>BDbDT_calcs!R55</f>
        <v>627.47944561823613</v>
      </c>
      <c r="S9" s="37">
        <f>BDbDT_calcs!S55</f>
        <v>616.43426907709431</v>
      </c>
      <c r="T9" s="37">
        <f>BDbDT_calcs!T55</f>
        <v>605.65637429014907</v>
      </c>
      <c r="U9" s="37">
        <f>BDbDT_calcs!U55</f>
        <v>595.25023287388728</v>
      </c>
      <c r="V9" s="37">
        <f>BDbDT_calcs!V55</f>
        <v>585.08725199469745</v>
      </c>
      <c r="W9" s="37">
        <f>BDbDT_calcs!W55</f>
        <v>575.44201333332103</v>
      </c>
      <c r="X9" s="37">
        <f>BDbDT_calcs!X55</f>
        <v>566.01348386358302</v>
      </c>
      <c r="Y9" s="37">
        <f>BDbDT_calcs!Y55</f>
        <v>556.96447107743018</v>
      </c>
      <c r="Z9" s="37">
        <f>BDbDT_calcs!Z55</f>
        <v>548.22602014087215</v>
      </c>
      <c r="AA9" s="37">
        <f>BDbDT_calcs!AA55</f>
        <v>539.73017132423081</v>
      </c>
      <c r="AB9" s="37">
        <f>BDbDT_calcs!AB55</f>
        <v>531.52381095877706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87411.209361159228</v>
      </c>
      <c r="C2" s="37">
        <f>BDbDT_calcs!C58</f>
        <v>88603.93026887739</v>
      </c>
      <c r="D2" s="37">
        <f>BDbDT_calcs!D58</f>
        <v>90526.671011075727</v>
      </c>
      <c r="E2" s="37">
        <f>BDbDT_calcs!E58</f>
        <v>92462.710563279426</v>
      </c>
      <c r="F2" s="37">
        <f>BDbDT_calcs!F58</f>
        <v>94419.995173860108</v>
      </c>
      <c r="G2" s="37">
        <f>BDbDT_calcs!G58</f>
        <v>96401.426244150978</v>
      </c>
      <c r="H2" s="37">
        <f>BDbDT_calcs!H58</f>
        <v>98400.523586444586</v>
      </c>
      <c r="I2" s="37">
        <f>BDbDT_calcs!I58</f>
        <v>99637.338220653008</v>
      </c>
      <c r="J2" s="37">
        <f>BDbDT_calcs!J58</f>
        <v>100853.62770876581</v>
      </c>
      <c r="K2" s="37">
        <f>BDbDT_calcs!K58</f>
        <v>102047.89145706607</v>
      </c>
      <c r="L2" s="37">
        <f>BDbDT_calcs!L58</f>
        <v>103211.77470825435</v>
      </c>
      <c r="M2" s="37">
        <f>BDbDT_calcs!M58</f>
        <v>104343.86039371778</v>
      </c>
      <c r="N2" s="37">
        <f>BDbDT_calcs!N58</f>
        <v>105433.81287972306</v>
      </c>
      <c r="O2" s="37">
        <f>BDbDT_calcs!O58</f>
        <v>106478.02788279545</v>
      </c>
      <c r="P2" s="37">
        <f>BDbDT_calcs!P58</f>
        <v>107463.23073650904</v>
      </c>
      <c r="Q2" s="37">
        <f>BDbDT_calcs!Q58</f>
        <v>108387.659737439</v>
      </c>
      <c r="R2" s="37">
        <f>BDbDT_calcs!R58</f>
        <v>109235.29855169178</v>
      </c>
      <c r="S2" s="37">
        <f>BDbDT_calcs!S58</f>
        <v>109878.66084738678</v>
      </c>
      <c r="T2" s="37">
        <f>BDbDT_calcs!T58</f>
        <v>110439.72895684998</v>
      </c>
      <c r="U2" s="37">
        <f>BDbDT_calcs!U58</f>
        <v>110924.85484273442</v>
      </c>
      <c r="V2" s="37">
        <f>BDbDT_calcs!V58</f>
        <v>111307.77393383563</v>
      </c>
      <c r="W2" s="37">
        <f>BDbDT_calcs!W58</f>
        <v>111595.45002059429</v>
      </c>
      <c r="X2" s="37">
        <f>BDbDT_calcs!X58</f>
        <v>111782.08590919775</v>
      </c>
      <c r="Y2" s="37">
        <f>BDbDT_calcs!Y58</f>
        <v>111914.05516598946</v>
      </c>
      <c r="Z2" s="37">
        <f>BDbDT_calcs!Z58</f>
        <v>111950.61864612387</v>
      </c>
      <c r="AA2" s="37">
        <f>BDbDT_calcs!AA58</f>
        <v>111898.88124271457</v>
      </c>
      <c r="AB2" s="37">
        <f>BDbDT_calcs!AB58</f>
        <v>111769.14018334501</v>
      </c>
    </row>
    <row r="3" spans="1:28" x14ac:dyDescent="0.25">
      <c r="A3" s="4" t="s">
        <v>216</v>
      </c>
      <c r="B3" s="37">
        <f>BDbDT_calcs!B59</f>
        <v>84556.272323492478</v>
      </c>
      <c r="C3" s="37">
        <f>BDbDT_calcs!C59</f>
        <v>85488.041509382325</v>
      </c>
      <c r="D3" s="37">
        <f>BDbDT_calcs!D59</f>
        <v>87130.492698565489</v>
      </c>
      <c r="E3" s="37">
        <f>BDbDT_calcs!E59</f>
        <v>88829.048435174671</v>
      </c>
      <c r="F3" s="37">
        <f>BDbDT_calcs!F59</f>
        <v>90609.594911219625</v>
      </c>
      <c r="G3" s="37">
        <f>BDbDT_calcs!G59</f>
        <v>92477.970775125446</v>
      </c>
      <c r="H3" s="37">
        <f>BDbDT_calcs!H59</f>
        <v>94443.863810265088</v>
      </c>
      <c r="I3" s="37">
        <f>BDbDT_calcs!I59</f>
        <v>95755.522050705476</v>
      </c>
      <c r="J3" s="37">
        <f>BDbDT_calcs!J59</f>
        <v>97132.770860103788</v>
      </c>
      <c r="K3" s="37">
        <f>BDbDT_calcs!K59</f>
        <v>98550.502272708793</v>
      </c>
      <c r="L3" s="37">
        <f>BDbDT_calcs!L59</f>
        <v>100006.53615207101</v>
      </c>
      <c r="M3" s="37">
        <f>BDbDT_calcs!M59</f>
        <v>101494.66985264279</v>
      </c>
      <c r="N3" s="37">
        <f>BDbDT_calcs!N59</f>
        <v>102993.20611807042</v>
      </c>
      <c r="O3" s="37">
        <f>BDbDT_calcs!O59</f>
        <v>104481.66942765034</v>
      </c>
      <c r="P3" s="37">
        <f>BDbDT_calcs!P59</f>
        <v>105955.70641549057</v>
      </c>
      <c r="Q3" s="37">
        <f>BDbDT_calcs!Q59</f>
        <v>107386.40254201191</v>
      </c>
      <c r="R3" s="37">
        <f>BDbDT_calcs!R59</f>
        <v>108765.96442233786</v>
      </c>
      <c r="S3" s="37">
        <f>BDbDT_calcs!S59</f>
        <v>109946.05961877509</v>
      </c>
      <c r="T3" s="37">
        <f>BDbDT_calcs!T59</f>
        <v>111045.45554810767</v>
      </c>
      <c r="U3" s="37">
        <f>BDbDT_calcs!U59</f>
        <v>112054.45909798391</v>
      </c>
      <c r="V3" s="37">
        <f>BDbDT_calcs!V59</f>
        <v>112948.298845927</v>
      </c>
      <c r="W3" s="37">
        <f>BDbDT_calcs!W59</f>
        <v>113704.88994272769</v>
      </c>
      <c r="X3" s="37">
        <f>BDbDT_calcs!X59</f>
        <v>114330.91942642948</v>
      </c>
      <c r="Y3" s="37">
        <f>BDbDT_calcs!Y59</f>
        <v>114880.12037249061</v>
      </c>
      <c r="Z3" s="37">
        <f>BDbDT_calcs!Z59</f>
        <v>115303.381529299</v>
      </c>
      <c r="AA3" s="37">
        <f>BDbDT_calcs!AA59</f>
        <v>115583.38306930216</v>
      </c>
      <c r="AB3" s="37">
        <f>BDbDT_calcs!AB59</f>
        <v>115722.55454081665</v>
      </c>
    </row>
    <row r="4" spans="1:28" x14ac:dyDescent="0.25">
      <c r="A4" s="4" t="s">
        <v>217</v>
      </c>
      <c r="B4" s="37">
        <f>BDbDT_calcs!B60</f>
        <v>125855.35779200985</v>
      </c>
      <c r="C4" s="37">
        <f>BDbDT_calcs!C60</f>
        <v>127386.82217665932</v>
      </c>
      <c r="D4" s="37">
        <f>BDbDT_calcs!D60</f>
        <v>129961.88955349709</v>
      </c>
      <c r="E4" s="37">
        <f>BDbDT_calcs!E60</f>
        <v>132574.59258777971</v>
      </c>
      <c r="F4" s="37">
        <f>BDbDT_calcs!F60</f>
        <v>135252.54803772076</v>
      </c>
      <c r="G4" s="37">
        <f>BDbDT_calcs!G60</f>
        <v>137997.08309837943</v>
      </c>
      <c r="H4" s="37">
        <f>BDbDT_calcs!H60</f>
        <v>140814.07662687782</v>
      </c>
      <c r="I4" s="37">
        <f>BDbDT_calcs!I60</f>
        <v>142582.77769390188</v>
      </c>
      <c r="J4" s="37">
        <f>BDbDT_calcs!J60</f>
        <v>144372.93873236421</v>
      </c>
      <c r="K4" s="37">
        <f>BDbDT_calcs!K60</f>
        <v>146159.15815162999</v>
      </c>
      <c r="L4" s="37">
        <f>BDbDT_calcs!L60</f>
        <v>147933.96996869176</v>
      </c>
      <c r="M4" s="37">
        <f>BDbDT_calcs!M60</f>
        <v>149691.96011029943</v>
      </c>
      <c r="N4" s="37">
        <f>BDbDT_calcs!N60</f>
        <v>151406.38149608974</v>
      </c>
      <c r="O4" s="37">
        <f>BDbDT_calcs!O60</f>
        <v>153062.72387787688</v>
      </c>
      <c r="P4" s="37">
        <f>BDbDT_calcs!P60</f>
        <v>154641.85793346763</v>
      </c>
      <c r="Q4" s="37">
        <f>BDbDT_calcs!Q60</f>
        <v>156123.6472638688</v>
      </c>
      <c r="R4" s="37">
        <f>BDbDT_calcs!R60</f>
        <v>157488.84890785004</v>
      </c>
      <c r="S4" s="37">
        <f>BDbDT_calcs!S60</f>
        <v>158538.64365547954</v>
      </c>
      <c r="T4" s="37">
        <f>BDbDT_calcs!T60</f>
        <v>159448.13399575511</v>
      </c>
      <c r="U4" s="37">
        <f>BDbDT_calcs!U60</f>
        <v>160217.75988664181</v>
      </c>
      <c r="V4" s="37">
        <f>BDbDT_calcs!V60</f>
        <v>160805.51161091554</v>
      </c>
      <c r="W4" s="37">
        <f>BDbDT_calcs!W60</f>
        <v>161200.04664372499</v>
      </c>
      <c r="X4" s="37">
        <f>BDbDT_calcs!X60</f>
        <v>161405.5048833061</v>
      </c>
      <c r="Y4" s="37">
        <f>BDbDT_calcs!Y60</f>
        <v>161504.79101142095</v>
      </c>
      <c r="Z4" s="37">
        <f>BDbDT_calcs!Z60</f>
        <v>161425.90993719004</v>
      </c>
      <c r="AA4" s="37">
        <f>BDbDT_calcs!AA60</f>
        <v>161159.39426531614</v>
      </c>
      <c r="AB4" s="37">
        <f>BDbDT_calcs!AB60</f>
        <v>160719.4817823956</v>
      </c>
    </row>
    <row r="5" spans="1:28" x14ac:dyDescent="0.25">
      <c r="A5" s="4" t="s">
        <v>218</v>
      </c>
      <c r="B5" s="37">
        <f>BDbDT_calcs!B61</f>
        <v>27993.781034928354</v>
      </c>
      <c r="C5" s="37">
        <f>BDbDT_calcs!C61</f>
        <v>28288.549121314722</v>
      </c>
      <c r="D5" s="37">
        <f>BDbDT_calcs!D61</f>
        <v>28819.720172058082</v>
      </c>
      <c r="E5" s="37">
        <f>BDbDT_calcs!E61</f>
        <v>29357.711493787585</v>
      </c>
      <c r="F5" s="37">
        <f>BDbDT_calcs!F61</f>
        <v>29912.263845133988</v>
      </c>
      <c r="G5" s="37">
        <f>BDbDT_calcs!G61</f>
        <v>30484.447966504824</v>
      </c>
      <c r="H5" s="37">
        <f>BDbDT_calcs!H61</f>
        <v>31073.804229920839</v>
      </c>
      <c r="I5" s="37">
        <f>BDbDT_calcs!I61</f>
        <v>31437.70288141827</v>
      </c>
      <c r="J5" s="37">
        <f>BDbDT_calcs!J61</f>
        <v>31813.156554317469</v>
      </c>
      <c r="K5" s="37">
        <f>BDbDT_calcs!K61</f>
        <v>32198.162298732739</v>
      </c>
      <c r="L5" s="37">
        <f>BDbDT_calcs!L61</f>
        <v>32592.80123218954</v>
      </c>
      <c r="M5" s="37">
        <f>BDbDT_calcs!M61</f>
        <v>32995.443742545402</v>
      </c>
      <c r="N5" s="37">
        <f>BDbDT_calcs!N61</f>
        <v>33407.703275498425</v>
      </c>
      <c r="O5" s="37">
        <f>BDbDT_calcs!O61</f>
        <v>33821.176795696563</v>
      </c>
      <c r="P5" s="37">
        <f>BDbDT_calcs!P61</f>
        <v>34239.649942181379</v>
      </c>
      <c r="Q5" s="37">
        <f>BDbDT_calcs!Q61</f>
        <v>34656.224796759387</v>
      </c>
      <c r="R5" s="37">
        <f>BDbDT_calcs!R61</f>
        <v>35070.140430410007</v>
      </c>
      <c r="S5" s="37">
        <f>BDbDT_calcs!S61</f>
        <v>35440.009803443842</v>
      </c>
      <c r="T5" s="37">
        <f>BDbDT_calcs!T61</f>
        <v>35799.672333455928</v>
      </c>
      <c r="U5" s="37">
        <f>BDbDT_calcs!U61</f>
        <v>36149.718408274348</v>
      </c>
      <c r="V5" s="37">
        <f>BDbDT_calcs!V61</f>
        <v>36485.967667381505</v>
      </c>
      <c r="W5" s="37">
        <f>BDbDT_calcs!W61</f>
        <v>36801.698398989145</v>
      </c>
      <c r="X5" s="37">
        <f>BDbDT_calcs!X61</f>
        <v>37094.496772266386</v>
      </c>
      <c r="Y5" s="37">
        <f>BDbDT_calcs!Y61</f>
        <v>37373.773764518628</v>
      </c>
      <c r="Z5" s="37">
        <f>BDbDT_calcs!Z61</f>
        <v>37629.244780784764</v>
      </c>
      <c r="AA5" s="37">
        <f>BDbDT_calcs!AA61</f>
        <v>37860.631530954823</v>
      </c>
      <c r="AB5" s="37">
        <f>BDbDT_calcs!AB61</f>
        <v>38064.053789740174</v>
      </c>
    </row>
    <row r="6" spans="1:28" x14ac:dyDescent="0.25">
      <c r="A6" s="4" t="s">
        <v>219</v>
      </c>
      <c r="B6" s="37">
        <f>BDbDT_calcs!B62</f>
        <v>11315.929963209786</v>
      </c>
      <c r="C6" s="37">
        <f>BDbDT_calcs!C62</f>
        <v>11530.375223241566</v>
      </c>
      <c r="D6" s="37">
        <f>BDbDT_calcs!D62</f>
        <v>11849.57265102812</v>
      </c>
      <c r="E6" s="37">
        <f>BDbDT_calcs!E62</f>
        <v>12189.311717361274</v>
      </c>
      <c r="F6" s="37">
        <f>BDbDT_calcs!F62</f>
        <v>12553.475961671447</v>
      </c>
      <c r="G6" s="37">
        <f>BDbDT_calcs!G62</f>
        <v>12942.207464230134</v>
      </c>
      <c r="H6" s="37">
        <f>BDbDT_calcs!H62</f>
        <v>13356.775706108168</v>
      </c>
      <c r="I6" s="37">
        <f>BDbDT_calcs!I62</f>
        <v>13691.370155837027</v>
      </c>
      <c r="J6" s="37">
        <f>BDbDT_calcs!J62</f>
        <v>14040.266370952126</v>
      </c>
      <c r="K6" s="37">
        <f>BDbDT_calcs!K62</f>
        <v>14400.632741955995</v>
      </c>
      <c r="L6" s="37">
        <f>BDbDT_calcs!L62</f>
        <v>14776.128911804484</v>
      </c>
      <c r="M6" s="37">
        <f>BDbDT_calcs!M62</f>
        <v>15163.878990729461</v>
      </c>
      <c r="N6" s="37">
        <f>BDbDT_calcs!N62</f>
        <v>15561.968548488192</v>
      </c>
      <c r="O6" s="37">
        <f>BDbDT_calcs!O62</f>
        <v>15967.686572312214</v>
      </c>
      <c r="P6" s="37">
        <f>BDbDT_calcs!P62</f>
        <v>16379.631152882759</v>
      </c>
      <c r="Q6" s="37">
        <f>BDbDT_calcs!Q62</f>
        <v>16794.731133456386</v>
      </c>
      <c r="R6" s="37">
        <f>BDbDT_calcs!R62</f>
        <v>17211.484264814728</v>
      </c>
      <c r="S6" s="37">
        <f>BDbDT_calcs!S62</f>
        <v>17606.34799075242</v>
      </c>
      <c r="T6" s="37">
        <f>BDbDT_calcs!T62</f>
        <v>17999.319080732741</v>
      </c>
      <c r="U6" s="37">
        <f>BDbDT_calcs!U62</f>
        <v>18386.53519337063</v>
      </c>
      <c r="V6" s="37">
        <f>BDbDT_calcs!V62</f>
        <v>18768.63508438084</v>
      </c>
      <c r="W6" s="37">
        <f>BDbDT_calcs!W62</f>
        <v>19144.383226508213</v>
      </c>
      <c r="X6" s="37">
        <f>BDbDT_calcs!X62</f>
        <v>19515.413317886116</v>
      </c>
      <c r="Y6" s="37">
        <f>BDbDT_calcs!Y62</f>
        <v>19880.441568433445</v>
      </c>
      <c r="Z6" s="37">
        <f>BDbDT_calcs!Z62</f>
        <v>20240.070137924846</v>
      </c>
      <c r="AA6" s="37">
        <f>BDbDT_calcs!AA62</f>
        <v>20594.059351050731</v>
      </c>
      <c r="AB6" s="37">
        <f>BDbDT_calcs!AB62</f>
        <v>20940.897823647832</v>
      </c>
    </row>
    <row r="7" spans="1:28" x14ac:dyDescent="0.25">
      <c r="A7" s="4" t="s">
        <v>220</v>
      </c>
      <c r="B7" s="37">
        <f>BDbDT_calcs!B63</f>
        <v>3572.9094083818068</v>
      </c>
      <c r="C7" s="37">
        <f>BDbDT_calcs!C63</f>
        <v>3635.521338610858</v>
      </c>
      <c r="D7" s="37">
        <f>BDbDT_calcs!D63</f>
        <v>3731.7129806365269</v>
      </c>
      <c r="E7" s="37">
        <f>BDbDT_calcs!E63</f>
        <v>3835.7615061964107</v>
      </c>
      <c r="F7" s="37">
        <f>BDbDT_calcs!F63</f>
        <v>3941.4167086287885</v>
      </c>
      <c r="G7" s="37">
        <f>BDbDT_calcs!G63</f>
        <v>4054.3519237312962</v>
      </c>
      <c r="H7" s="37">
        <f>BDbDT_calcs!H63</f>
        <v>4170.9799873712282</v>
      </c>
      <c r="I7" s="37">
        <f>BDbDT_calcs!I63</f>
        <v>4257.4688262491572</v>
      </c>
      <c r="J7" s="37">
        <f>BDbDT_calcs!J63</f>
        <v>4345.791673822906</v>
      </c>
      <c r="K7" s="37">
        <f>BDbDT_calcs!K63</f>
        <v>4440.6184031362909</v>
      </c>
      <c r="L7" s="37">
        <f>BDbDT_calcs!L63</f>
        <v>4537.6685966668456</v>
      </c>
      <c r="M7" s="37">
        <f>BDbDT_calcs!M63</f>
        <v>4638.3197440187741</v>
      </c>
      <c r="N7" s="37">
        <f>BDbDT_calcs!N63</f>
        <v>4740.5259611416595</v>
      </c>
      <c r="O7" s="37">
        <f>BDbDT_calcs!O63</f>
        <v>4844.6564594467291</v>
      </c>
      <c r="P7" s="37">
        <f>BDbDT_calcs!P63</f>
        <v>4951.9743696448877</v>
      </c>
      <c r="Q7" s="37">
        <f>BDbDT_calcs!Q63</f>
        <v>5061.8201520615767</v>
      </c>
      <c r="R7" s="37">
        <f>BDbDT_calcs!R63</f>
        <v>5173.2191280729348</v>
      </c>
      <c r="S7" s="37">
        <f>BDbDT_calcs!S63</f>
        <v>5278.4268649685773</v>
      </c>
      <c r="T7" s="37">
        <f>BDbDT_calcs!T63</f>
        <v>5384.8225882002489</v>
      </c>
      <c r="U7" s="37">
        <f>BDbDT_calcs!U63</f>
        <v>5490.9894938849975</v>
      </c>
      <c r="V7" s="37">
        <f>BDbDT_calcs!V63</f>
        <v>5595.3467584456484</v>
      </c>
      <c r="W7" s="37">
        <f>BDbDT_calcs!W63</f>
        <v>5701.3127905415777</v>
      </c>
      <c r="X7" s="37">
        <f>BDbDT_calcs!X63</f>
        <v>5806.1337060522173</v>
      </c>
      <c r="Y7" s="37">
        <f>BDbDT_calcs!Y63</f>
        <v>5911.4585283028537</v>
      </c>
      <c r="Z7" s="37">
        <f>BDbDT_calcs!Z63</f>
        <v>6015.0119300648894</v>
      </c>
      <c r="AA7" s="37">
        <f>BDbDT_calcs!AA63</f>
        <v>6117.6788149031881</v>
      </c>
      <c r="AB7" s="37">
        <f>BDbDT_calcs!AB63</f>
        <v>6220.3828179048587</v>
      </c>
    </row>
    <row r="8" spans="1:28" x14ac:dyDescent="0.25">
      <c r="A8" s="4" t="s">
        <v>221</v>
      </c>
      <c r="B8" s="37">
        <f>BDbDT_calcs!B64</f>
        <v>15414.176508829185</v>
      </c>
      <c r="C8" s="37">
        <f>BDbDT_calcs!C64</f>
        <v>15886.10752001495</v>
      </c>
      <c r="D8" s="37">
        <f>BDbDT_calcs!D64</f>
        <v>16501.538747254526</v>
      </c>
      <c r="E8" s="37">
        <f>BDbDT_calcs!E64</f>
        <v>17135.580325471379</v>
      </c>
      <c r="F8" s="37">
        <f>BDbDT_calcs!F64</f>
        <v>17788.666866899828</v>
      </c>
      <c r="G8" s="37">
        <f>BDbDT_calcs!G64</f>
        <v>18463.230850616375</v>
      </c>
      <c r="H8" s="37">
        <f>BDbDT_calcs!H64</f>
        <v>19165.623366819131</v>
      </c>
      <c r="I8" s="37">
        <f>BDbDT_calcs!I64</f>
        <v>19743.043680934508</v>
      </c>
      <c r="J8" s="37">
        <f>BDbDT_calcs!J64</f>
        <v>20335.039933890155</v>
      </c>
      <c r="K8" s="37">
        <f>BDbDT_calcs!K64</f>
        <v>20946.276693568092</v>
      </c>
      <c r="L8" s="37">
        <f>BDbDT_calcs!L64</f>
        <v>21580.280954368842</v>
      </c>
      <c r="M8" s="37">
        <f>BDbDT_calcs!M64</f>
        <v>22231.739042147208</v>
      </c>
      <c r="N8" s="37">
        <f>BDbDT_calcs!N64</f>
        <v>22906.407769507801</v>
      </c>
      <c r="O8" s="37">
        <f>BDbDT_calcs!O64</f>
        <v>23600.444009204712</v>
      </c>
      <c r="P8" s="37">
        <f>BDbDT_calcs!P64</f>
        <v>24312.792335447044</v>
      </c>
      <c r="Q8" s="37">
        <f>BDbDT_calcs!Q64</f>
        <v>25044.514429446208</v>
      </c>
      <c r="R8" s="37">
        <f>BDbDT_calcs!R64</f>
        <v>25790.553327971382</v>
      </c>
      <c r="S8" s="37">
        <f>BDbDT_calcs!S64</f>
        <v>26519.746067515745</v>
      </c>
      <c r="T8" s="37">
        <f>BDbDT_calcs!T64</f>
        <v>27260.892289469342</v>
      </c>
      <c r="U8" s="37">
        <f>BDbDT_calcs!U64</f>
        <v>28012.133900740599</v>
      </c>
      <c r="V8" s="37">
        <f>BDbDT_calcs!V64</f>
        <v>28769.710216134481</v>
      </c>
      <c r="W8" s="37">
        <f>BDbDT_calcs!W64</f>
        <v>29529.637249375221</v>
      </c>
      <c r="X8" s="37">
        <f>BDbDT_calcs!X64</f>
        <v>30295.473793465906</v>
      </c>
      <c r="Y8" s="37">
        <f>BDbDT_calcs!Y64</f>
        <v>31061.102975480659</v>
      </c>
      <c r="Z8" s="37">
        <f>BDbDT_calcs!Z64</f>
        <v>31826.089914920653</v>
      </c>
      <c r="AA8" s="37">
        <f>BDbDT_calcs!AA64</f>
        <v>32583.277757528816</v>
      </c>
      <c r="AB8" s="37">
        <f>BDbDT_calcs!AB64</f>
        <v>33331.775363006214</v>
      </c>
    </row>
    <row r="9" spans="1:28" x14ac:dyDescent="0.25">
      <c r="A9" s="4" t="s">
        <v>222</v>
      </c>
      <c r="B9" s="37">
        <f>BDbDT_calcs!B65</f>
        <v>155794.89718464628</v>
      </c>
      <c r="C9" s="37">
        <f>BDbDT_calcs!C65</f>
        <v>157453.76975898724</v>
      </c>
      <c r="D9" s="37">
        <f>BDbDT_calcs!D65</f>
        <v>160404.05897775837</v>
      </c>
      <c r="E9" s="37">
        <f>BDbDT_calcs!E65</f>
        <v>163404.75042026152</v>
      </c>
      <c r="F9" s="37">
        <f>BDbDT_calcs!F65</f>
        <v>166488.7118757446</v>
      </c>
      <c r="G9" s="37">
        <f>BDbDT_calcs!G65</f>
        <v>169662.24090715856</v>
      </c>
      <c r="H9" s="37">
        <f>BDbDT_calcs!H65</f>
        <v>172922.21452394791</v>
      </c>
      <c r="I9" s="37">
        <f>BDbDT_calcs!I65</f>
        <v>174895.76260621558</v>
      </c>
      <c r="J9" s="37">
        <f>BDbDT_calcs!J65</f>
        <v>176898.81788406367</v>
      </c>
      <c r="K9" s="37">
        <f>BDbDT_calcs!K65</f>
        <v>178900.88186936663</v>
      </c>
      <c r="L9" s="37">
        <f>BDbDT_calcs!L65</f>
        <v>180888.0504145642</v>
      </c>
      <c r="M9" s="37">
        <f>BDbDT_calcs!M65</f>
        <v>182857.91712117076</v>
      </c>
      <c r="N9" s="37">
        <f>BDbDT_calcs!N65</f>
        <v>184773.38579327185</v>
      </c>
      <c r="O9" s="37">
        <f>BDbDT_calcs!O65</f>
        <v>186614.4998647992</v>
      </c>
      <c r="P9" s="37">
        <f>BDbDT_calcs!P65</f>
        <v>188364.66357529804</v>
      </c>
      <c r="Q9" s="37">
        <f>BDbDT_calcs!Q65</f>
        <v>189992.84045617509</v>
      </c>
      <c r="R9" s="37">
        <f>BDbDT_calcs!R65</f>
        <v>191480.14106011417</v>
      </c>
      <c r="S9" s="37">
        <f>BDbDT_calcs!S65</f>
        <v>192583.2070534993</v>
      </c>
      <c r="T9" s="37">
        <f>BDbDT_calcs!T65</f>
        <v>193513.23455978237</v>
      </c>
      <c r="U9" s="37">
        <f>BDbDT_calcs!U65</f>
        <v>194268.91791439397</v>
      </c>
      <c r="V9" s="37">
        <f>BDbDT_calcs!V65</f>
        <v>194803.23355938814</v>
      </c>
      <c r="W9" s="37">
        <f>BDbDT_calcs!W65</f>
        <v>195105.41628920523</v>
      </c>
      <c r="X9" s="37">
        <f>BDbDT_calcs!X65</f>
        <v>195172.76721243115</v>
      </c>
      <c r="Y9" s="37">
        <f>BDbDT_calcs!Y65</f>
        <v>195110.27191676601</v>
      </c>
      <c r="Z9" s="37">
        <f>BDbDT_calcs!Z65</f>
        <v>194829.3896008422</v>
      </c>
      <c r="AA9" s="37">
        <f>BDbDT_calcs!AA65</f>
        <v>194327.18513668675</v>
      </c>
      <c r="AB9" s="37">
        <f>BDbDT_calcs!AB65</f>
        <v>193617.24063475794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2026-08-17T20:29:19Z</dcterms:modified>
</cp:coreProperties>
</file>