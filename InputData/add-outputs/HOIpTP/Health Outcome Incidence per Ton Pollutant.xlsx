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Y\add-outputs\HOIpTP\"/>
    </mc:Choice>
  </mc:AlternateContent>
  <xr:revisionPtr revIDLastSave="0" documentId="8_{C8D053A1-14AE-4E99-97DB-1B987E607EBB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Y13" i="19"/>
  <c r="P13" i="19"/>
  <c r="B13" i="19"/>
  <c r="J13" i="19" s="1"/>
  <c r="U12" i="19"/>
  <c r="Q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K8" i="19"/>
  <c r="B8" i="19"/>
  <c r="L8" i="19" s="1"/>
  <c r="U7" i="19"/>
  <c r="L7" i="19"/>
  <c r="B7" i="19"/>
  <c r="AA7" i="19" s="1"/>
  <c r="J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AA3" i="19"/>
  <c r="Z3" i="19"/>
  <c r="V3" i="19"/>
  <c r="Q3" i="19"/>
  <c r="J3" i="19"/>
  <c r="B3" i="19"/>
  <c r="AB2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Q17" i="18"/>
  <c r="M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Z15" i="18"/>
  <c r="B15" i="18"/>
  <c r="Y14" i="18"/>
  <c r="U14" i="18"/>
  <c r="R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U8" i="18"/>
  <c r="R8" i="18"/>
  <c r="Q8" i="18"/>
  <c r="N8" i="18"/>
  <c r="M8" i="18"/>
  <c r="F8" i="18"/>
  <c r="B8" i="18"/>
  <c r="W8" i="18" s="1"/>
  <c r="AB7" i="18"/>
  <c r="AA7" i="18"/>
  <c r="H7" i="18"/>
  <c r="D7" i="18"/>
  <c r="C7" i="18"/>
  <c r="B7" i="18"/>
  <c r="G7" i="18" s="1"/>
  <c r="AA6" i="18"/>
  <c r="X6" i="18"/>
  <c r="P6" i="18"/>
  <c r="O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V3" i="18"/>
  <c r="P3" i="18"/>
  <c r="J3" i="18"/>
  <c r="I3" i="18"/>
  <c r="H3" i="18"/>
  <c r="E3" i="18"/>
  <c r="B3" i="18"/>
  <c r="Z3" i="18" s="1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Y17" i="17"/>
  <c r="X17" i="17"/>
  <c r="R17" i="17"/>
  <c r="Q17" i="17"/>
  <c r="E17" i="17"/>
  <c r="B17" i="17"/>
  <c r="AA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B15" i="17"/>
  <c r="M15" i="17" s="1"/>
  <c r="B14" i="17"/>
  <c r="C14" i="17" s="1"/>
  <c r="AA13" i="17"/>
  <c r="X13" i="17"/>
  <c r="W13" i="17"/>
  <c r="R13" i="17"/>
  <c r="D13" i="17"/>
  <c r="C13" i="17"/>
  <c r="B13" i="17"/>
  <c r="U13" i="17" s="1"/>
  <c r="Z12" i="17"/>
  <c r="Y12" i="17"/>
  <c r="T12" i="17"/>
  <c r="R12" i="17"/>
  <c r="P12" i="17"/>
  <c r="O12" i="17"/>
  <c r="M12" i="17"/>
  <c r="J12" i="17"/>
  <c r="G12" i="17"/>
  <c r="D12" i="17"/>
  <c r="C12" i="17"/>
  <c r="B12" i="17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W8" i="17"/>
  <c r="T8" i="17"/>
  <c r="S8" i="17"/>
  <c r="R8" i="17"/>
  <c r="P8" i="17"/>
  <c r="O8" i="17"/>
  <c r="F8" i="17"/>
  <c r="C8" i="17"/>
  <c r="B8" i="17"/>
  <c r="AB8" i="17" s="1"/>
  <c r="Z7" i="17"/>
  <c r="Y7" i="17"/>
  <c r="X7" i="17"/>
  <c r="W7" i="17"/>
  <c r="T7" i="17"/>
  <c r="P7" i="17"/>
  <c r="B7" i="17"/>
  <c r="B6" i="17"/>
  <c r="Q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L2" i="17"/>
  <c r="J2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B17" i="16"/>
  <c r="B16" i="16"/>
  <c r="AA15" i="16"/>
  <c r="X15" i="16"/>
  <c r="K15" i="16"/>
  <c r="B15" i="16"/>
  <c r="Y15" i="16" s="1"/>
  <c r="B14" i="16"/>
  <c r="C14" i="16" s="1"/>
  <c r="X13" i="16"/>
  <c r="W13" i="16"/>
  <c r="J13" i="16"/>
  <c r="D13" i="16"/>
  <c r="B13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X7" i="16"/>
  <c r="S7" i="16"/>
  <c r="B7" i="16"/>
  <c r="W6" i="16"/>
  <c r="S6" i="16"/>
  <c r="N6" i="16"/>
  <c r="M6" i="16"/>
  <c r="L6" i="16"/>
  <c r="J6" i="16"/>
  <c r="I6" i="16"/>
  <c r="H6" i="16"/>
  <c r="E6" i="16"/>
  <c r="B6" i="16"/>
  <c r="Z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W3" i="16"/>
  <c r="R3" i="16"/>
  <c r="O3" i="16"/>
  <c r="C3" i="16"/>
  <c r="B3" i="16"/>
  <c r="Z3" i="16" s="1"/>
  <c r="AA2" i="16"/>
  <c r="Y2" i="16"/>
  <c r="X2" i="16"/>
  <c r="T2" i="16"/>
  <c r="P2" i="16"/>
  <c r="K2" i="16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Y15" i="15"/>
  <c r="V15" i="15"/>
  <c r="U15" i="15"/>
  <c r="T15" i="15"/>
  <c r="S15" i="15"/>
  <c r="K15" i="15"/>
  <c r="I15" i="15"/>
  <c r="C15" i="15"/>
  <c r="B15" i="15"/>
  <c r="G15" i="15" s="1"/>
  <c r="O14" i="15"/>
  <c r="N14" i="15"/>
  <c r="M14" i="15"/>
  <c r="E14" i="15"/>
  <c r="B14" i="15"/>
  <c r="AB14" i="15" s="1"/>
  <c r="J13" i="15"/>
  <c r="H13" i="15"/>
  <c r="G13" i="15"/>
  <c r="B13" i="15"/>
  <c r="AB13" i="15" s="1"/>
  <c r="B12" i="15"/>
  <c r="S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AA8" i="15"/>
  <c r="Z8" i="15"/>
  <c r="Y8" i="15"/>
  <c r="X8" i="15"/>
  <c r="R8" i="15"/>
  <c r="M8" i="15"/>
  <c r="L8" i="15"/>
  <c r="K8" i="15"/>
  <c r="J8" i="15"/>
  <c r="H8" i="15"/>
  <c r="E8" i="15"/>
  <c r="D8" i="15"/>
  <c r="B8" i="15"/>
  <c r="O7" i="15"/>
  <c r="N7" i="15"/>
  <c r="M7" i="15"/>
  <c r="L7" i="15"/>
  <c r="D7" i="15"/>
  <c r="B7" i="15"/>
  <c r="AB7" i="15" s="1"/>
  <c r="B6" i="15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AA3" i="15"/>
  <c r="Z3" i="15"/>
  <c r="W3" i="15"/>
  <c r="T3" i="15"/>
  <c r="Q3" i="15"/>
  <c r="N3" i="15"/>
  <c r="M3" i="15"/>
  <c r="B3" i="15"/>
  <c r="AA2" i="15"/>
  <c r="Z2" i="15"/>
  <c r="Y2" i="15"/>
  <c r="S2" i="15"/>
  <c r="Q2" i="15"/>
  <c r="P2" i="15"/>
  <c r="N2" i="15"/>
  <c r="M2" i="15"/>
  <c r="L2" i="15"/>
  <c r="I2" i="15"/>
  <c r="H2" i="15"/>
  <c r="F2" i="15"/>
  <c r="E2" i="15"/>
  <c r="B2" i="15"/>
  <c r="AB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A15" i="14"/>
  <c r="Z15" i="14"/>
  <c r="Y15" i="14"/>
  <c r="W15" i="14"/>
  <c r="V15" i="14"/>
  <c r="U15" i="14"/>
  <c r="Q15" i="14"/>
  <c r="O15" i="14"/>
  <c r="N15" i="14"/>
  <c r="M15" i="14"/>
  <c r="L15" i="14"/>
  <c r="K15" i="14"/>
  <c r="J15" i="14"/>
  <c r="I15" i="14"/>
  <c r="H15" i="14"/>
  <c r="F15" i="14"/>
  <c r="D15" i="14"/>
  <c r="C15" i="14"/>
  <c r="B15" i="14"/>
  <c r="AB14" i="14"/>
  <c r="S14" i="14"/>
  <c r="R14" i="14"/>
  <c r="B14" i="14"/>
  <c r="Y14" i="14" s="1"/>
  <c r="S13" i="14"/>
  <c r="R13" i="14"/>
  <c r="N13" i="14"/>
  <c r="K13" i="14"/>
  <c r="B13" i="14"/>
  <c r="E12" i="14"/>
  <c r="B12" i="14"/>
  <c r="F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W7" i="14"/>
  <c r="S7" i="14"/>
  <c r="R7" i="14"/>
  <c r="P7" i="14"/>
  <c r="O7" i="14"/>
  <c r="N7" i="14"/>
  <c r="L7" i="14"/>
  <c r="K7" i="14"/>
  <c r="I7" i="14"/>
  <c r="G7" i="14"/>
  <c r="E7" i="14"/>
  <c r="D7" i="14"/>
  <c r="C7" i="14"/>
  <c r="B7" i="14"/>
  <c r="X7" i="14" s="1"/>
  <c r="N6" i="14"/>
  <c r="M6" i="14"/>
  <c r="L6" i="14"/>
  <c r="K6" i="14"/>
  <c r="H6" i="14"/>
  <c r="F6" i="14"/>
  <c r="B6" i="14"/>
  <c r="AA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Z3" i="14"/>
  <c r="Y3" i="14"/>
  <c r="W3" i="14"/>
  <c r="U3" i="14"/>
  <c r="T3" i="14"/>
  <c r="S3" i="14"/>
  <c r="N3" i="14"/>
  <c r="M3" i="14"/>
  <c r="J3" i="14"/>
  <c r="I3" i="14"/>
  <c r="F3" i="14"/>
  <c r="E3" i="14"/>
  <c r="D3" i="14"/>
  <c r="B3" i="14"/>
  <c r="AB3" i="14" s="1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F17" i="13" s="1"/>
  <c r="U16" i="13"/>
  <c r="T16" i="13"/>
  <c r="H16" i="13"/>
  <c r="G16" i="13"/>
  <c r="B16" i="13"/>
  <c r="AA16" i="13" s="1"/>
  <c r="V15" i="13"/>
  <c r="S15" i="13"/>
  <c r="B15" i="13"/>
  <c r="AA14" i="13"/>
  <c r="Y14" i="13"/>
  <c r="W14" i="13"/>
  <c r="T14" i="13"/>
  <c r="S14" i="13"/>
  <c r="Q14" i="13"/>
  <c r="O14" i="13"/>
  <c r="N14" i="13"/>
  <c r="M14" i="13"/>
  <c r="L14" i="13"/>
  <c r="K14" i="13"/>
  <c r="J14" i="13"/>
  <c r="E14" i="13"/>
  <c r="B14" i="13"/>
  <c r="O13" i="13"/>
  <c r="M13" i="13"/>
  <c r="B13" i="13"/>
  <c r="H13" i="13" s="1"/>
  <c r="V12" i="13"/>
  <c r="U12" i="13"/>
  <c r="S12" i="13"/>
  <c r="R12" i="13"/>
  <c r="O12" i="13"/>
  <c r="H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Q8" i="13"/>
  <c r="K8" i="13"/>
  <c r="J8" i="13"/>
  <c r="I8" i="13"/>
  <c r="G8" i="13"/>
  <c r="F8" i="13"/>
  <c r="E8" i="13"/>
  <c r="D8" i="13"/>
  <c r="B8" i="13"/>
  <c r="AA8" i="13" s="1"/>
  <c r="X7" i="13"/>
  <c r="W7" i="13"/>
  <c r="U7" i="13"/>
  <c r="S7" i="13"/>
  <c r="R7" i="13"/>
  <c r="N7" i="13"/>
  <c r="G7" i="13"/>
  <c r="F7" i="13"/>
  <c r="E7" i="13"/>
  <c r="D7" i="13"/>
  <c r="C7" i="13"/>
  <c r="B7" i="13"/>
  <c r="AB7" i="13" s="1"/>
  <c r="AA6" i="13"/>
  <c r="Z6" i="13"/>
  <c r="G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W3" i="13"/>
  <c r="B3" i="13"/>
  <c r="AB2" i="13"/>
  <c r="Y2" i="13"/>
  <c r="X2" i="13"/>
  <c r="V2" i="13"/>
  <c r="U2" i="13"/>
  <c r="Q2" i="13"/>
  <c r="P2" i="13"/>
  <c r="O2" i="13"/>
  <c r="M2" i="13"/>
  <c r="J2" i="13"/>
  <c r="I2" i="13"/>
  <c r="H2" i="13"/>
  <c r="G2" i="13"/>
  <c r="F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B17" i="12"/>
  <c r="G17" i="12" s="1"/>
  <c r="AB16" i="12"/>
  <c r="AA16" i="12"/>
  <c r="Z16" i="12"/>
  <c r="J16" i="12"/>
  <c r="C16" i="12"/>
  <c r="B16" i="12"/>
  <c r="AB15" i="12"/>
  <c r="S15" i="12"/>
  <c r="Q15" i="12"/>
  <c r="B15" i="12"/>
  <c r="I15" i="12" s="1"/>
  <c r="X14" i="12"/>
  <c r="W14" i="12"/>
  <c r="B14" i="12"/>
  <c r="Y14" i="12" s="1"/>
  <c r="B13" i="12"/>
  <c r="AA12" i="12"/>
  <c r="Z12" i="12"/>
  <c r="H12" i="12"/>
  <c r="C12" i="12"/>
  <c r="B12" i="12"/>
  <c r="AB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Z8" i="12"/>
  <c r="Y8" i="12"/>
  <c r="X8" i="12"/>
  <c r="W8" i="12"/>
  <c r="V8" i="12"/>
  <c r="U8" i="12"/>
  <c r="S8" i="12"/>
  <c r="R8" i="12"/>
  <c r="Q8" i="12"/>
  <c r="P8" i="12"/>
  <c r="M8" i="12"/>
  <c r="J8" i="12"/>
  <c r="I8" i="12"/>
  <c r="H8" i="12"/>
  <c r="G8" i="12"/>
  <c r="F8" i="12"/>
  <c r="D8" i="12"/>
  <c r="C8" i="12"/>
  <c r="B8" i="12"/>
  <c r="B7" i="12"/>
  <c r="I7" i="12" s="1"/>
  <c r="W6" i="12"/>
  <c r="B6" i="12"/>
  <c r="F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Z3" i="12"/>
  <c r="Y3" i="12"/>
  <c r="T3" i="12"/>
  <c r="P3" i="12"/>
  <c r="N3" i="12"/>
  <c r="M3" i="12"/>
  <c r="L3" i="12"/>
  <c r="K3" i="12"/>
  <c r="J3" i="12"/>
  <c r="I3" i="12"/>
  <c r="F3" i="12"/>
  <c r="B3" i="12"/>
  <c r="AA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B17" i="11"/>
  <c r="AB17" i="11" s="1"/>
  <c r="AB16" i="11"/>
  <c r="Y16" i="11"/>
  <c r="W16" i="11"/>
  <c r="V16" i="11"/>
  <c r="D16" i="11"/>
  <c r="B16" i="11"/>
  <c r="AA16" i="11" s="1"/>
  <c r="R15" i="11"/>
  <c r="B15" i="11"/>
  <c r="W15" i="11" s="1"/>
  <c r="AB14" i="11"/>
  <c r="AA14" i="11"/>
  <c r="W14" i="11"/>
  <c r="V14" i="11"/>
  <c r="T14" i="11"/>
  <c r="R14" i="11"/>
  <c r="P14" i="11"/>
  <c r="O14" i="11"/>
  <c r="N14" i="11"/>
  <c r="M14" i="11"/>
  <c r="L14" i="11"/>
  <c r="J14" i="11"/>
  <c r="I14" i="11"/>
  <c r="H14" i="11"/>
  <c r="G14" i="11"/>
  <c r="F14" i="11"/>
  <c r="E14" i="11"/>
  <c r="C14" i="11"/>
  <c r="B14" i="11"/>
  <c r="AB13" i="11"/>
  <c r="Z13" i="11"/>
  <c r="Y13" i="11"/>
  <c r="V13" i="11"/>
  <c r="U13" i="11"/>
  <c r="R13" i="11"/>
  <c r="Q13" i="11"/>
  <c r="M13" i="11"/>
  <c r="L13" i="11"/>
  <c r="K13" i="11"/>
  <c r="J13" i="11"/>
  <c r="B13" i="11"/>
  <c r="AA13" i="11" s="1"/>
  <c r="Y12" i="11"/>
  <c r="B12" i="11"/>
  <c r="M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S8" i="11"/>
  <c r="R8" i="11"/>
  <c r="Q8" i="11"/>
  <c r="P8" i="11"/>
  <c r="O8" i="11"/>
  <c r="N8" i="11"/>
  <c r="K8" i="11"/>
  <c r="J8" i="11"/>
  <c r="I8" i="11"/>
  <c r="E8" i="11"/>
  <c r="B8" i="11"/>
  <c r="Z7" i="11"/>
  <c r="W7" i="11"/>
  <c r="V7" i="11"/>
  <c r="U7" i="11"/>
  <c r="T7" i="11"/>
  <c r="S7" i="11"/>
  <c r="R7" i="11"/>
  <c r="O7" i="11"/>
  <c r="N7" i="11"/>
  <c r="M7" i="11"/>
  <c r="L7" i="11"/>
  <c r="K7" i="11"/>
  <c r="J7" i="11"/>
  <c r="I7" i="11"/>
  <c r="H7" i="11"/>
  <c r="F7" i="11"/>
  <c r="E7" i="11"/>
  <c r="B7" i="11"/>
  <c r="AA7" i="11" s="1"/>
  <c r="K6" i="11"/>
  <c r="B6" i="11"/>
  <c r="AA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K3" i="11"/>
  <c r="B3" i="11"/>
  <c r="J3" i="11" s="1"/>
  <c r="N2" i="11"/>
  <c r="B2" i="1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AA15" i="10"/>
  <c r="Z15" i="10"/>
  <c r="Y15" i="10"/>
  <c r="U15" i="10"/>
  <c r="R15" i="10"/>
  <c r="O15" i="10"/>
  <c r="B15" i="10"/>
  <c r="G15" i="10" s="1"/>
  <c r="Z14" i="10"/>
  <c r="Y14" i="10"/>
  <c r="O14" i="10"/>
  <c r="B14" i="10"/>
  <c r="AA13" i="10"/>
  <c r="Z13" i="10"/>
  <c r="B13" i="10"/>
  <c r="D13" i="10" s="1"/>
  <c r="AA12" i="10"/>
  <c r="Z12" i="10"/>
  <c r="G12" i="10"/>
  <c r="B12" i="10"/>
  <c r="AB12" i="10" s="1"/>
  <c r="C11" i="10"/>
  <c r="B11" i="10"/>
  <c r="B10" i="10"/>
  <c r="B9" i="10"/>
  <c r="B8" i="10"/>
  <c r="Q8" i="10" s="1"/>
  <c r="B7" i="10"/>
  <c r="X7" i="10" s="1"/>
  <c r="O6" i="10"/>
  <c r="L6" i="10"/>
  <c r="J6" i="10"/>
  <c r="H6" i="10"/>
  <c r="E6" i="10"/>
  <c r="C6" i="10"/>
  <c r="B6" i="10"/>
  <c r="Y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B3" i="10"/>
  <c r="Q3" i="10" s="1"/>
  <c r="B2" i="10"/>
  <c r="L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P17" i="9"/>
  <c r="M17" i="9"/>
  <c r="K17" i="9"/>
  <c r="J17" i="9"/>
  <c r="E17" i="9"/>
  <c r="B17" i="9"/>
  <c r="Q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Y15" i="9"/>
  <c r="M15" i="9"/>
  <c r="K15" i="9"/>
  <c r="B15" i="9"/>
  <c r="AA15" i="9" s="1"/>
  <c r="AB14" i="9"/>
  <c r="R14" i="9"/>
  <c r="P14" i="9"/>
  <c r="O14" i="9"/>
  <c r="N14" i="9"/>
  <c r="M14" i="9"/>
  <c r="L14" i="9"/>
  <c r="I14" i="9"/>
  <c r="H14" i="9"/>
  <c r="G14" i="9"/>
  <c r="F14" i="9"/>
  <c r="E14" i="9"/>
  <c r="D14" i="9"/>
  <c r="C14" i="9"/>
  <c r="B14" i="9"/>
  <c r="Z14" i="9" s="1"/>
  <c r="B13" i="9"/>
  <c r="AA13" i="9" s="1"/>
  <c r="AB12" i="9"/>
  <c r="AA12" i="9"/>
  <c r="Z12" i="9"/>
  <c r="Y12" i="9"/>
  <c r="X12" i="9"/>
  <c r="W12" i="9"/>
  <c r="U12" i="9"/>
  <c r="S12" i="9"/>
  <c r="O12" i="9"/>
  <c r="J12" i="9"/>
  <c r="H12" i="9"/>
  <c r="E12" i="9"/>
  <c r="D12" i="9"/>
  <c r="C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U8" i="9"/>
  <c r="T8" i="9"/>
  <c r="S8" i="9"/>
  <c r="R8" i="9"/>
  <c r="Q8" i="9"/>
  <c r="P8" i="9"/>
  <c r="B8" i="9"/>
  <c r="E8" i="9" s="1"/>
  <c r="AB7" i="9"/>
  <c r="AA7" i="9"/>
  <c r="X7" i="9"/>
  <c r="W7" i="9"/>
  <c r="V7" i="9"/>
  <c r="T7" i="9"/>
  <c r="S7" i="9"/>
  <c r="R7" i="9"/>
  <c r="Q7" i="9"/>
  <c r="P7" i="9"/>
  <c r="N7" i="9"/>
  <c r="M7" i="9"/>
  <c r="L7" i="9"/>
  <c r="I7" i="9"/>
  <c r="G7" i="9"/>
  <c r="C7" i="9"/>
  <c r="B7" i="9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S3" i="9"/>
  <c r="O3" i="9"/>
  <c r="G3" i="9"/>
  <c r="F3" i="9"/>
  <c r="B3" i="9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U15" i="8"/>
  <c r="P15" i="8"/>
  <c r="O15" i="8"/>
  <c r="N15" i="8"/>
  <c r="M15" i="8"/>
  <c r="L15" i="8"/>
  <c r="K15" i="8"/>
  <c r="J15" i="8"/>
  <c r="I15" i="8"/>
  <c r="H15" i="8"/>
  <c r="G15" i="8"/>
  <c r="F15" i="8"/>
  <c r="E15" i="8"/>
  <c r="B15" i="8"/>
  <c r="Z15" i="8" s="1"/>
  <c r="AB14" i="8"/>
  <c r="N14" i="8"/>
  <c r="M14" i="8"/>
  <c r="L14" i="8"/>
  <c r="K14" i="8"/>
  <c r="H14" i="8"/>
  <c r="F14" i="8"/>
  <c r="E14" i="8"/>
  <c r="D14" i="8"/>
  <c r="B14" i="8"/>
  <c r="Y14" i="8" s="1"/>
  <c r="Q13" i="8"/>
  <c r="P13" i="8"/>
  <c r="O13" i="8"/>
  <c r="N13" i="8"/>
  <c r="M13" i="8"/>
  <c r="J13" i="8"/>
  <c r="I13" i="8"/>
  <c r="H13" i="8"/>
  <c r="G13" i="8"/>
  <c r="E13" i="8"/>
  <c r="C13" i="8"/>
  <c r="B13" i="8"/>
  <c r="F13" i="8" s="1"/>
  <c r="AB12" i="8"/>
  <c r="AA12" i="8"/>
  <c r="Z12" i="8"/>
  <c r="Y12" i="8"/>
  <c r="X12" i="8"/>
  <c r="W12" i="8"/>
  <c r="V12" i="8"/>
  <c r="U12" i="8"/>
  <c r="T12" i="8"/>
  <c r="S12" i="8"/>
  <c r="R12" i="8"/>
  <c r="Q12" i="8"/>
  <c r="O12" i="8"/>
  <c r="N12" i="8"/>
  <c r="H12" i="8"/>
  <c r="E12" i="8"/>
  <c r="D12" i="8"/>
  <c r="C12" i="8"/>
  <c r="B12" i="8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B8" i="8"/>
  <c r="Q8" i="8" s="1"/>
  <c r="T7" i="8"/>
  <c r="S7" i="8"/>
  <c r="Q7" i="8"/>
  <c r="J7" i="8"/>
  <c r="B7" i="8"/>
  <c r="G7" i="8" s="1"/>
  <c r="P6" i="8"/>
  <c r="O6" i="8"/>
  <c r="F6" i="8"/>
  <c r="E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S3" i="8"/>
  <c r="R3" i="8"/>
  <c r="Q3" i="8"/>
  <c r="O3" i="8"/>
  <c r="N3" i="8"/>
  <c r="M3" i="8"/>
  <c r="L3" i="8"/>
  <c r="K3" i="8"/>
  <c r="I3" i="8"/>
  <c r="H3" i="8"/>
  <c r="E3" i="8"/>
  <c r="C3" i="8"/>
  <c r="B3" i="8"/>
  <c r="AA2" i="8"/>
  <c r="Z2" i="8"/>
  <c r="W2" i="8"/>
  <c r="V2" i="8"/>
  <c r="U2" i="8"/>
  <c r="T2" i="8"/>
  <c r="R2" i="8"/>
  <c r="Q2" i="8"/>
  <c r="N2" i="8"/>
  <c r="M2" i="8"/>
  <c r="L2" i="8"/>
  <c r="K2" i="8"/>
  <c r="I2" i="8"/>
  <c r="H2" i="8"/>
  <c r="G2" i="8"/>
  <c r="F2" i="8"/>
  <c r="C2" i="8"/>
  <c r="B2" i="8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U17" i="7"/>
  <c r="S17" i="7"/>
  <c r="Q17" i="7"/>
  <c r="M17" i="7"/>
  <c r="L17" i="7"/>
  <c r="K17" i="7"/>
  <c r="J17" i="7"/>
  <c r="I17" i="7"/>
  <c r="H17" i="7"/>
  <c r="G17" i="7"/>
  <c r="C17" i="7"/>
  <c r="B17" i="7"/>
  <c r="N16" i="7"/>
  <c r="M16" i="7"/>
  <c r="L16" i="7"/>
  <c r="J16" i="7"/>
  <c r="H16" i="7"/>
  <c r="G16" i="7"/>
  <c r="B16" i="7"/>
  <c r="AA16" i="7" s="1"/>
  <c r="W15" i="7"/>
  <c r="V15" i="7"/>
  <c r="U15" i="7"/>
  <c r="H15" i="7"/>
  <c r="G15" i="7"/>
  <c r="F15" i="7"/>
  <c r="B15" i="7"/>
  <c r="Z15" i="7" s="1"/>
  <c r="B14" i="7"/>
  <c r="Q14" i="7" s="1"/>
  <c r="V13" i="7"/>
  <c r="T13" i="7"/>
  <c r="S13" i="7"/>
  <c r="B13" i="7"/>
  <c r="Z13" i="7" s="1"/>
  <c r="AB12" i="7"/>
  <c r="X12" i="7"/>
  <c r="W12" i="7"/>
  <c r="S12" i="7"/>
  <c r="R12" i="7"/>
  <c r="P12" i="7"/>
  <c r="O12" i="7"/>
  <c r="N12" i="7"/>
  <c r="M12" i="7"/>
  <c r="L12" i="7"/>
  <c r="K12" i="7"/>
  <c r="B12" i="7"/>
  <c r="Y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Z8" i="7"/>
  <c r="W8" i="7"/>
  <c r="V8" i="7"/>
  <c r="U8" i="7"/>
  <c r="R8" i="7"/>
  <c r="Q8" i="7"/>
  <c r="P8" i="7"/>
  <c r="M8" i="7"/>
  <c r="L8" i="7"/>
  <c r="K8" i="7"/>
  <c r="J8" i="7"/>
  <c r="I8" i="7"/>
  <c r="H8" i="7"/>
  <c r="G8" i="7"/>
  <c r="F8" i="7"/>
  <c r="E8" i="7"/>
  <c r="D8" i="7"/>
  <c r="B8" i="7"/>
  <c r="AB8" i="7" s="1"/>
  <c r="AA7" i="7"/>
  <c r="Z7" i="7"/>
  <c r="Y7" i="7"/>
  <c r="W7" i="7"/>
  <c r="U7" i="7"/>
  <c r="S7" i="7"/>
  <c r="R7" i="7"/>
  <c r="Q7" i="7"/>
  <c r="O7" i="7"/>
  <c r="N7" i="7"/>
  <c r="M7" i="7"/>
  <c r="L7" i="7"/>
  <c r="K7" i="7"/>
  <c r="J7" i="7"/>
  <c r="I7" i="7"/>
  <c r="H7" i="7"/>
  <c r="F7" i="7"/>
  <c r="E7" i="7"/>
  <c r="B7" i="7"/>
  <c r="S6" i="7"/>
  <c r="R6" i="7"/>
  <c r="Q6" i="7"/>
  <c r="I6" i="7"/>
  <c r="H6" i="7"/>
  <c r="F6" i="7"/>
  <c r="B6" i="7"/>
  <c r="AB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V3" i="7"/>
  <c r="U3" i="7"/>
  <c r="T3" i="7"/>
  <c r="S3" i="7"/>
  <c r="P3" i="7"/>
  <c r="O3" i="7"/>
  <c r="N3" i="7"/>
  <c r="M3" i="7"/>
  <c r="L3" i="7"/>
  <c r="K3" i="7"/>
  <c r="J3" i="7"/>
  <c r="H3" i="7"/>
  <c r="G3" i="7"/>
  <c r="F3" i="7"/>
  <c r="B3" i="7"/>
  <c r="X3" i="7" s="1"/>
  <c r="S2" i="7"/>
  <c r="R2" i="7"/>
  <c r="Q2" i="7"/>
  <c r="P2" i="7"/>
  <c r="M2" i="7"/>
  <c r="L2" i="7"/>
  <c r="K2" i="7"/>
  <c r="I2" i="7"/>
  <c r="H2" i="7"/>
  <c r="G2" i="7"/>
  <c r="B2" i="7"/>
  <c r="Y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A17" i="6"/>
  <c r="Z17" i="6"/>
  <c r="X17" i="6"/>
  <c r="W17" i="6"/>
  <c r="U17" i="6"/>
  <c r="T17" i="6"/>
  <c r="S17" i="6"/>
  <c r="R17" i="6"/>
  <c r="Q17" i="6"/>
  <c r="P17" i="6"/>
  <c r="M17" i="6"/>
  <c r="L17" i="6"/>
  <c r="K17" i="6"/>
  <c r="J17" i="6"/>
  <c r="H17" i="6"/>
  <c r="G17" i="6"/>
  <c r="F17" i="6"/>
  <c r="E17" i="6"/>
  <c r="D17" i="6"/>
  <c r="C17" i="6"/>
  <c r="B17" i="6"/>
  <c r="E16" i="6"/>
  <c r="D16" i="6"/>
  <c r="C16" i="6"/>
  <c r="B16" i="6"/>
  <c r="Y15" i="6"/>
  <c r="W15" i="6"/>
  <c r="V15" i="6"/>
  <c r="Q15" i="6"/>
  <c r="P15" i="6"/>
  <c r="O15" i="6"/>
  <c r="N15" i="6"/>
  <c r="B15" i="6"/>
  <c r="D15" i="6" s="1"/>
  <c r="AB14" i="6"/>
  <c r="AA14" i="6"/>
  <c r="Y14" i="6"/>
  <c r="R14" i="6"/>
  <c r="Q14" i="6"/>
  <c r="P14" i="6"/>
  <c r="B14" i="6"/>
  <c r="Y13" i="6"/>
  <c r="V13" i="6"/>
  <c r="T13" i="6"/>
  <c r="R13" i="6"/>
  <c r="Q13" i="6"/>
  <c r="P13" i="6"/>
  <c r="O13" i="6"/>
  <c r="N13" i="6"/>
  <c r="M13" i="6"/>
  <c r="K13" i="6"/>
  <c r="I13" i="6"/>
  <c r="H13" i="6"/>
  <c r="G13" i="6"/>
  <c r="B13" i="6"/>
  <c r="AB13" i="6" s="1"/>
  <c r="O12" i="6"/>
  <c r="N12" i="6"/>
  <c r="B12" i="6"/>
  <c r="D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B8" i="6"/>
  <c r="B7" i="6"/>
  <c r="J7" i="6" s="1"/>
  <c r="AA6" i="6"/>
  <c r="P6" i="6"/>
  <c r="O6" i="6"/>
  <c r="J6" i="6"/>
  <c r="I6" i="6"/>
  <c r="E6" i="6"/>
  <c r="B6" i="6"/>
  <c r="N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Y3" i="6"/>
  <c r="B3" i="6"/>
  <c r="S3" i="6" s="1"/>
  <c r="AB2" i="6"/>
  <c r="AA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W17" i="5"/>
  <c r="Q17" i="5"/>
  <c r="P17" i="5"/>
  <c r="O17" i="5"/>
  <c r="L17" i="5"/>
  <c r="K17" i="5"/>
  <c r="J17" i="5"/>
  <c r="B17" i="5"/>
  <c r="X17" i="5" s="1"/>
  <c r="B16" i="5"/>
  <c r="AA15" i="5"/>
  <c r="Y15" i="5"/>
  <c r="I15" i="5"/>
  <c r="H15" i="5"/>
  <c r="C15" i="5"/>
  <c r="B15" i="5"/>
  <c r="W15" i="5" s="1"/>
  <c r="AB14" i="5"/>
  <c r="AA14" i="5"/>
  <c r="Z14" i="5"/>
  <c r="Y14" i="5"/>
  <c r="W14" i="5"/>
  <c r="B14" i="5"/>
  <c r="D14" i="5" s="1"/>
  <c r="J13" i="5"/>
  <c r="I13" i="5"/>
  <c r="B13" i="5"/>
  <c r="AB13" i="5" s="1"/>
  <c r="H12" i="5"/>
  <c r="G12" i="5"/>
  <c r="B12" i="5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D7" i="5" s="1"/>
  <c r="W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B3" i="5"/>
  <c r="W3" i="5" s="1"/>
  <c r="F2" i="5"/>
  <c r="B2" i="5"/>
  <c r="E2" i="5" s="1"/>
  <c r="B2" i="1"/>
  <c r="Q2" i="14" l="1"/>
  <c r="G2" i="14"/>
  <c r="F2" i="14"/>
  <c r="Y2" i="14"/>
  <c r="V2" i="14"/>
  <c r="G6" i="15"/>
  <c r="N6" i="15"/>
  <c r="M6" i="15"/>
  <c r="J6" i="15"/>
  <c r="X6" i="15"/>
  <c r="W6" i="15"/>
  <c r="U6" i="15"/>
  <c r="J15" i="5"/>
  <c r="H14" i="7"/>
  <c r="U14" i="6"/>
  <c r="H14" i="6"/>
  <c r="J15" i="7"/>
  <c r="O14" i="8"/>
  <c r="Q6" i="11"/>
  <c r="G12" i="15"/>
  <c r="N13" i="15"/>
  <c r="C6" i="17"/>
  <c r="D6" i="15"/>
  <c r="X14" i="10"/>
  <c r="T14" i="10"/>
  <c r="Q14" i="10"/>
  <c r="Z2" i="7"/>
  <c r="E13" i="7"/>
  <c r="Q3" i="11"/>
  <c r="S13" i="13"/>
  <c r="O2" i="14"/>
  <c r="X13" i="5"/>
  <c r="AA3" i="13"/>
  <c r="C3" i="13"/>
  <c r="P3" i="13"/>
  <c r="M3" i="13"/>
  <c r="P2" i="14"/>
  <c r="L6" i="15"/>
  <c r="Q7" i="15"/>
  <c r="H12" i="15"/>
  <c r="O13" i="15"/>
  <c r="Z7" i="16"/>
  <c r="AB7" i="16"/>
  <c r="Y7" i="16"/>
  <c r="V7" i="16"/>
  <c r="U7" i="16"/>
  <c r="P7" i="16"/>
  <c r="J7" i="16"/>
  <c r="I7" i="16"/>
  <c r="G7" i="16"/>
  <c r="J17" i="16"/>
  <c r="H17" i="16"/>
  <c r="D17" i="16"/>
  <c r="C17" i="16"/>
  <c r="E6" i="17"/>
  <c r="W2" i="18"/>
  <c r="Y2" i="18"/>
  <c r="X2" i="18"/>
  <c r="S2" i="18"/>
  <c r="R2" i="18"/>
  <c r="N2" i="18"/>
  <c r="M2" i="18"/>
  <c r="L2" i="18"/>
  <c r="J2" i="18"/>
  <c r="G2" i="18"/>
  <c r="F2" i="18"/>
  <c r="X15" i="6"/>
  <c r="F15" i="6"/>
  <c r="U6" i="7"/>
  <c r="X15" i="13"/>
  <c r="H15" i="13"/>
  <c r="G15" i="13"/>
  <c r="AB15" i="13"/>
  <c r="D15" i="13"/>
  <c r="Q15" i="13"/>
  <c r="O15" i="13"/>
  <c r="M2" i="14"/>
  <c r="D12" i="15"/>
  <c r="K13" i="15"/>
  <c r="E12" i="11"/>
  <c r="AB8" i="6"/>
  <c r="H8" i="6"/>
  <c r="T12" i="6"/>
  <c r="D14" i="6"/>
  <c r="E15" i="13"/>
  <c r="S3" i="5"/>
  <c r="U7" i="5"/>
  <c r="Y13" i="5"/>
  <c r="N15" i="5"/>
  <c r="R17" i="5"/>
  <c r="L3" i="6"/>
  <c r="C8" i="6"/>
  <c r="U12" i="6"/>
  <c r="E14" i="6"/>
  <c r="E15" i="6"/>
  <c r="Z6" i="7"/>
  <c r="Y8" i="7"/>
  <c r="C12" i="7"/>
  <c r="H13" i="7"/>
  <c r="M14" i="7"/>
  <c r="L15" i="7"/>
  <c r="AB17" i="7"/>
  <c r="T17" i="7"/>
  <c r="J3" i="8"/>
  <c r="P3" i="8"/>
  <c r="Z7" i="8"/>
  <c r="S13" i="8"/>
  <c r="Q14" i="8"/>
  <c r="C8" i="9"/>
  <c r="M13" i="9"/>
  <c r="S14" i="9"/>
  <c r="T17" i="9"/>
  <c r="K2" i="10"/>
  <c r="N8" i="10"/>
  <c r="F14" i="10"/>
  <c r="D15" i="10"/>
  <c r="S3" i="11"/>
  <c r="T6" i="11"/>
  <c r="X7" i="11"/>
  <c r="G12" i="11"/>
  <c r="F15" i="12"/>
  <c r="D3" i="13"/>
  <c r="AB6" i="13"/>
  <c r="P6" i="13"/>
  <c r="M6" i="13"/>
  <c r="Z7" i="13"/>
  <c r="AB12" i="13"/>
  <c r="X12" i="13"/>
  <c r="W12" i="13"/>
  <c r="T12" i="13"/>
  <c r="D12" i="13"/>
  <c r="U13" i="13"/>
  <c r="F15" i="13"/>
  <c r="C17" i="13"/>
  <c r="R2" i="14"/>
  <c r="O6" i="14"/>
  <c r="O6" i="15"/>
  <c r="S7" i="15"/>
  <c r="I12" i="15"/>
  <c r="Q13" i="15"/>
  <c r="C7" i="16"/>
  <c r="G17" i="16"/>
  <c r="G6" i="17"/>
  <c r="D2" i="18"/>
  <c r="P7" i="12"/>
  <c r="J7" i="12"/>
  <c r="E2" i="10"/>
  <c r="AA14" i="10"/>
  <c r="M3" i="11"/>
  <c r="O6" i="11"/>
  <c r="I14" i="7"/>
  <c r="I15" i="7"/>
  <c r="C12" i="11"/>
  <c r="E7" i="12"/>
  <c r="R13" i="5"/>
  <c r="AA15" i="6"/>
  <c r="P7" i="15"/>
  <c r="X6" i="7"/>
  <c r="P14" i="8"/>
  <c r="G7" i="12"/>
  <c r="E15" i="12"/>
  <c r="T13" i="8"/>
  <c r="R14" i="8"/>
  <c r="S13" i="9"/>
  <c r="U14" i="9"/>
  <c r="U17" i="9"/>
  <c r="Z8" i="10"/>
  <c r="G14" i="10"/>
  <c r="E15" i="10"/>
  <c r="U3" i="11"/>
  <c r="U6" i="11"/>
  <c r="J12" i="11"/>
  <c r="K7" i="12"/>
  <c r="G15" i="12"/>
  <c r="E3" i="13"/>
  <c r="V13" i="13"/>
  <c r="I15" i="13"/>
  <c r="E17" i="13"/>
  <c r="U2" i="14"/>
  <c r="P6" i="14"/>
  <c r="P3" i="15"/>
  <c r="J3" i="15"/>
  <c r="I3" i="15"/>
  <c r="E3" i="15"/>
  <c r="Y3" i="15"/>
  <c r="X3" i="15"/>
  <c r="U3" i="15"/>
  <c r="P6" i="15"/>
  <c r="V7" i="15"/>
  <c r="J12" i="15"/>
  <c r="R13" i="15"/>
  <c r="D7" i="16"/>
  <c r="R17" i="16"/>
  <c r="L6" i="17"/>
  <c r="K2" i="18"/>
  <c r="W2" i="10"/>
  <c r="F2" i="10"/>
  <c r="C2" i="10"/>
  <c r="D2" i="10"/>
  <c r="L3" i="11"/>
  <c r="L2" i="14"/>
  <c r="U7" i="8"/>
  <c r="R13" i="13"/>
  <c r="S12" i="6"/>
  <c r="C15" i="6"/>
  <c r="V6" i="7"/>
  <c r="C13" i="9"/>
  <c r="I8" i="10"/>
  <c r="D15" i="12"/>
  <c r="Q3" i="5"/>
  <c r="N7" i="5"/>
  <c r="M15" i="5"/>
  <c r="K3" i="6"/>
  <c r="AB15" i="6"/>
  <c r="W8" i="9"/>
  <c r="L8" i="9"/>
  <c r="G8" i="9"/>
  <c r="D13" i="9"/>
  <c r="S17" i="9"/>
  <c r="J2" i="10"/>
  <c r="E14" i="10"/>
  <c r="R3" i="11"/>
  <c r="F12" i="11"/>
  <c r="Z13" i="5"/>
  <c r="S17" i="5"/>
  <c r="D8" i="6"/>
  <c r="V12" i="6"/>
  <c r="G15" i="6"/>
  <c r="I13" i="7"/>
  <c r="M15" i="7"/>
  <c r="U3" i="5"/>
  <c r="X7" i="5"/>
  <c r="P15" i="5"/>
  <c r="G7" i="7"/>
  <c r="V7" i="7"/>
  <c r="AB7" i="7"/>
  <c r="AA8" i="7"/>
  <c r="F12" i="7"/>
  <c r="J13" i="7"/>
  <c r="O14" i="7"/>
  <c r="N15" i="7"/>
  <c r="D17" i="7"/>
  <c r="O2" i="8"/>
  <c r="P2" i="8"/>
  <c r="D3" i="8"/>
  <c r="H8" i="8"/>
  <c r="U13" i="8"/>
  <c r="S14" i="8"/>
  <c r="Y7" i="9"/>
  <c r="J7" i="9"/>
  <c r="F7" i="9"/>
  <c r="F8" i="9"/>
  <c r="W13" i="9"/>
  <c r="V14" i="9"/>
  <c r="W17" i="9"/>
  <c r="M2" i="10"/>
  <c r="AB8" i="10"/>
  <c r="H14" i="10"/>
  <c r="F15" i="10"/>
  <c r="Y3" i="11"/>
  <c r="X6" i="11"/>
  <c r="K12" i="11"/>
  <c r="S14" i="11"/>
  <c r="X14" i="11"/>
  <c r="U14" i="11"/>
  <c r="K14" i="11"/>
  <c r="S7" i="12"/>
  <c r="H15" i="12"/>
  <c r="O17" i="12"/>
  <c r="F3" i="13"/>
  <c r="H6" i="13"/>
  <c r="I12" i="13"/>
  <c r="X13" i="13"/>
  <c r="J15" i="13"/>
  <c r="X2" i="14"/>
  <c r="Q6" i="14"/>
  <c r="X15" i="14"/>
  <c r="T15" i="14"/>
  <c r="S15" i="14"/>
  <c r="P15" i="14"/>
  <c r="G15" i="14"/>
  <c r="AB15" i="14"/>
  <c r="E15" i="14"/>
  <c r="C3" i="15"/>
  <c r="Q6" i="15"/>
  <c r="W7" i="15"/>
  <c r="L12" i="15"/>
  <c r="S13" i="15"/>
  <c r="E7" i="16"/>
  <c r="U17" i="16"/>
  <c r="M6" i="17"/>
  <c r="O2" i="18"/>
  <c r="X6" i="5"/>
  <c r="L6" i="11"/>
  <c r="C8" i="10"/>
  <c r="E6" i="15"/>
  <c r="G2" i="10"/>
  <c r="G8" i="10"/>
  <c r="AB14" i="10"/>
  <c r="I7" i="5"/>
  <c r="L15" i="5"/>
  <c r="F3" i="6"/>
  <c r="C14" i="6"/>
  <c r="W7" i="8"/>
  <c r="F7" i="12"/>
  <c r="K6" i="15"/>
  <c r="K8" i="10"/>
  <c r="C15" i="10"/>
  <c r="R6" i="11"/>
  <c r="T13" i="13"/>
  <c r="T17" i="5"/>
  <c r="O3" i="6"/>
  <c r="E8" i="6"/>
  <c r="W12" i="6"/>
  <c r="I14" i="6"/>
  <c r="H15" i="6"/>
  <c r="V3" i="5"/>
  <c r="Y7" i="5"/>
  <c r="O14" i="5"/>
  <c r="Q15" i="5"/>
  <c r="U17" i="5"/>
  <c r="P3" i="6"/>
  <c r="G8" i="6"/>
  <c r="AB12" i="6"/>
  <c r="J14" i="6"/>
  <c r="I15" i="6"/>
  <c r="C7" i="7"/>
  <c r="K13" i="7"/>
  <c r="E17" i="7"/>
  <c r="L8" i="8"/>
  <c r="Y3" i="9"/>
  <c r="K3" i="9"/>
  <c r="I8" i="9"/>
  <c r="Y13" i="9"/>
  <c r="W14" i="9"/>
  <c r="X17" i="9"/>
  <c r="N2" i="10"/>
  <c r="I14" i="10"/>
  <c r="Q7" i="11"/>
  <c r="G7" i="11"/>
  <c r="AB7" i="11"/>
  <c r="D7" i="11"/>
  <c r="AB8" i="11"/>
  <c r="D8" i="11"/>
  <c r="V7" i="12"/>
  <c r="T17" i="12"/>
  <c r="S2" i="13"/>
  <c r="C2" i="13"/>
  <c r="Z2" i="13"/>
  <c r="N2" i="13"/>
  <c r="L2" i="13"/>
  <c r="I3" i="13"/>
  <c r="J6" i="13"/>
  <c r="J12" i="13"/>
  <c r="Y13" i="13"/>
  <c r="K15" i="13"/>
  <c r="Z2" i="14"/>
  <c r="R6" i="14"/>
  <c r="D3" i="15"/>
  <c r="R6" i="15"/>
  <c r="Y7" i="15"/>
  <c r="M12" i="15"/>
  <c r="T13" i="15"/>
  <c r="F7" i="16"/>
  <c r="V17" i="16"/>
  <c r="V7" i="17"/>
  <c r="U7" i="17"/>
  <c r="S7" i="17"/>
  <c r="R7" i="17"/>
  <c r="J7" i="17"/>
  <c r="F7" i="17"/>
  <c r="E7" i="17"/>
  <c r="D7" i="17"/>
  <c r="P2" i="18"/>
  <c r="Z14" i="7"/>
  <c r="D14" i="7"/>
  <c r="E2" i="14"/>
  <c r="L3" i="5"/>
  <c r="L12" i="11"/>
  <c r="I12" i="11"/>
  <c r="C3" i="6"/>
  <c r="AB6" i="6"/>
  <c r="R12" i="6"/>
  <c r="Z15" i="6"/>
  <c r="X15" i="12"/>
  <c r="O15" i="12"/>
  <c r="L15" i="12"/>
  <c r="AA15" i="12"/>
  <c r="C15" i="12"/>
  <c r="Y15" i="12"/>
  <c r="I6" i="15"/>
  <c r="X15" i="10"/>
  <c r="Q15" i="10"/>
  <c r="N15" i="10"/>
  <c r="F13" i="7"/>
  <c r="L14" i="7"/>
  <c r="K15" i="7"/>
  <c r="Y7" i="8"/>
  <c r="R13" i="8"/>
  <c r="T3" i="5"/>
  <c r="V7" i="5"/>
  <c r="O15" i="5"/>
  <c r="M3" i="6"/>
  <c r="F14" i="6"/>
  <c r="E12" i="7"/>
  <c r="N14" i="7"/>
  <c r="X8" i="7"/>
  <c r="T8" i="7"/>
  <c r="G12" i="7"/>
  <c r="O15" i="7"/>
  <c r="V13" i="8"/>
  <c r="T14" i="8"/>
  <c r="Z7" i="5"/>
  <c r="V14" i="5"/>
  <c r="R15" i="5"/>
  <c r="V17" i="5"/>
  <c r="Q3" i="6"/>
  <c r="I8" i="6"/>
  <c r="K14" i="6"/>
  <c r="J15" i="6"/>
  <c r="N17" i="6"/>
  <c r="V17" i="6"/>
  <c r="AB17" i="6"/>
  <c r="D7" i="7"/>
  <c r="C8" i="7"/>
  <c r="H12" i="7"/>
  <c r="M13" i="7"/>
  <c r="R14" i="7"/>
  <c r="P15" i="7"/>
  <c r="F17" i="7"/>
  <c r="D2" i="8"/>
  <c r="G3" i="8"/>
  <c r="M8" i="8"/>
  <c r="W13" i="8"/>
  <c r="U14" i="8"/>
  <c r="C3" i="9"/>
  <c r="D7" i="9"/>
  <c r="K8" i="9"/>
  <c r="Z13" i="9"/>
  <c r="Y14" i="9"/>
  <c r="AA17" i="9"/>
  <c r="P2" i="10"/>
  <c r="J14" i="10"/>
  <c r="H15" i="10"/>
  <c r="C7" i="11"/>
  <c r="C8" i="11"/>
  <c r="O12" i="11"/>
  <c r="W7" i="12"/>
  <c r="J15" i="12"/>
  <c r="D2" i="13"/>
  <c r="J3" i="13"/>
  <c r="K6" i="13"/>
  <c r="L12" i="13"/>
  <c r="U14" i="13"/>
  <c r="H14" i="13"/>
  <c r="F14" i="13"/>
  <c r="R14" i="13"/>
  <c r="P14" i="13"/>
  <c r="L15" i="13"/>
  <c r="AA2" i="14"/>
  <c r="T6" i="14"/>
  <c r="F3" i="15"/>
  <c r="S6" i="15"/>
  <c r="Z7" i="15"/>
  <c r="P12" i="15"/>
  <c r="W13" i="15"/>
  <c r="H7" i="16"/>
  <c r="AB12" i="16"/>
  <c r="Y12" i="16"/>
  <c r="W12" i="16"/>
  <c r="K12" i="16"/>
  <c r="Y17" i="16"/>
  <c r="G7" i="17"/>
  <c r="U2" i="18"/>
  <c r="K13" i="5"/>
  <c r="P12" i="6"/>
  <c r="D7" i="12"/>
  <c r="K15" i="5"/>
  <c r="P3" i="11"/>
  <c r="P6" i="11"/>
  <c r="N3" i="5"/>
  <c r="J14" i="7"/>
  <c r="H2" i="10"/>
  <c r="D14" i="10"/>
  <c r="C15" i="13"/>
  <c r="AA7" i="5"/>
  <c r="S15" i="5"/>
  <c r="U3" i="6"/>
  <c r="J8" i="6"/>
  <c r="L14" i="6"/>
  <c r="K15" i="6"/>
  <c r="J12" i="7"/>
  <c r="N13" i="7"/>
  <c r="S14" i="7"/>
  <c r="Q15" i="7"/>
  <c r="X13" i="8"/>
  <c r="V14" i="8"/>
  <c r="M8" i="9"/>
  <c r="U2" i="10"/>
  <c r="K14" i="10"/>
  <c r="I15" i="10"/>
  <c r="P12" i="11"/>
  <c r="X7" i="12"/>
  <c r="K15" i="12"/>
  <c r="E2" i="13"/>
  <c r="K3" i="13"/>
  <c r="O6" i="13"/>
  <c r="M12" i="13"/>
  <c r="M15" i="13"/>
  <c r="AB2" i="14"/>
  <c r="W6" i="14"/>
  <c r="X2" i="15"/>
  <c r="K2" i="15"/>
  <c r="J2" i="15"/>
  <c r="G2" i="15"/>
  <c r="V2" i="15"/>
  <c r="U2" i="15"/>
  <c r="R2" i="15"/>
  <c r="G3" i="15"/>
  <c r="T6" i="15"/>
  <c r="AA7" i="15"/>
  <c r="Q12" i="15"/>
  <c r="L7" i="16"/>
  <c r="C12" i="16"/>
  <c r="Z17" i="16"/>
  <c r="H7" i="17"/>
  <c r="V2" i="18"/>
  <c r="F14" i="7"/>
  <c r="Z6" i="5"/>
  <c r="C12" i="15"/>
  <c r="X13" i="9"/>
  <c r="Q13" i="9"/>
  <c r="C14" i="10"/>
  <c r="AB7" i="5"/>
  <c r="T15" i="5"/>
  <c r="V3" i="6"/>
  <c r="M14" i="6"/>
  <c r="L15" i="6"/>
  <c r="O13" i="7"/>
  <c r="T14" i="7"/>
  <c r="R15" i="7"/>
  <c r="AA13" i="8"/>
  <c r="W14" i="8"/>
  <c r="N8" i="9"/>
  <c r="X14" i="9"/>
  <c r="T14" i="9"/>
  <c r="Q14" i="9"/>
  <c r="AA14" i="9"/>
  <c r="V2" i="10"/>
  <c r="L14" i="10"/>
  <c r="K15" i="10"/>
  <c r="Q2" i="11"/>
  <c r="G2" i="11"/>
  <c r="T12" i="11"/>
  <c r="Y7" i="12"/>
  <c r="M15" i="12"/>
  <c r="L3" i="13"/>
  <c r="N15" i="13"/>
  <c r="L3" i="14"/>
  <c r="K3" i="14"/>
  <c r="G3" i="14"/>
  <c r="X3" i="14"/>
  <c r="V3" i="14"/>
  <c r="C2" i="15"/>
  <c r="K3" i="15"/>
  <c r="V6" i="15"/>
  <c r="R12" i="15"/>
  <c r="M7" i="16"/>
  <c r="I12" i="16"/>
  <c r="AB17" i="16"/>
  <c r="K7" i="17"/>
  <c r="Z2" i="18"/>
  <c r="Q13" i="13"/>
  <c r="M3" i="5"/>
  <c r="M13" i="5"/>
  <c r="V15" i="5"/>
  <c r="W3" i="6"/>
  <c r="N14" i="6"/>
  <c r="M15" i="6"/>
  <c r="Q13" i="7"/>
  <c r="U14" i="7"/>
  <c r="S15" i="7"/>
  <c r="AB13" i="8"/>
  <c r="O8" i="9"/>
  <c r="X2" i="10"/>
  <c r="M14" i="10"/>
  <c r="L15" i="10"/>
  <c r="I2" i="11"/>
  <c r="U12" i="11"/>
  <c r="Z7" i="12"/>
  <c r="N15" i="12"/>
  <c r="N3" i="13"/>
  <c r="P15" i="13"/>
  <c r="C3" i="14"/>
  <c r="Z7" i="14"/>
  <c r="AB7" i="14"/>
  <c r="Y7" i="14"/>
  <c r="V7" i="14"/>
  <c r="J7" i="14"/>
  <c r="H7" i="14"/>
  <c r="D2" i="15"/>
  <c r="L3" i="15"/>
  <c r="AA6" i="15"/>
  <c r="G8" i="15"/>
  <c r="F8" i="15"/>
  <c r="C8" i="15"/>
  <c r="W8" i="15"/>
  <c r="T8" i="15"/>
  <c r="O8" i="15"/>
  <c r="D14" i="15"/>
  <c r="O7" i="16"/>
  <c r="X12" i="16"/>
  <c r="O7" i="17"/>
  <c r="U12" i="15"/>
  <c r="O12" i="15"/>
  <c r="N12" i="15"/>
  <c r="K12" i="15"/>
  <c r="AA12" i="15"/>
  <c r="Z12" i="15"/>
  <c r="W12" i="15"/>
  <c r="X3" i="6"/>
  <c r="O14" i="6"/>
  <c r="AA6" i="7"/>
  <c r="W6" i="7"/>
  <c r="R13" i="7"/>
  <c r="V14" i="7"/>
  <c r="T15" i="7"/>
  <c r="X14" i="8"/>
  <c r="Z14" i="8"/>
  <c r="C14" i="8"/>
  <c r="AA14" i="8"/>
  <c r="Y2" i="10"/>
  <c r="N14" i="10"/>
  <c r="M15" i="10"/>
  <c r="X12" i="11"/>
  <c r="AA7" i="12"/>
  <c r="P15" i="12"/>
  <c r="V3" i="13"/>
  <c r="Y7" i="13"/>
  <c r="M7" i="13"/>
  <c r="H7" i="13"/>
  <c r="AA7" i="13"/>
  <c r="R15" i="13"/>
  <c r="AB6" i="15"/>
  <c r="T12" i="15"/>
  <c r="R7" i="16"/>
  <c r="Z2" i="17"/>
  <c r="W2" i="17"/>
  <c r="I2" i="17"/>
  <c r="G2" i="17"/>
  <c r="F2" i="17"/>
  <c r="Z2" i="10"/>
  <c r="AB7" i="12"/>
  <c r="X7" i="15"/>
  <c r="K7" i="15"/>
  <c r="J7" i="15"/>
  <c r="G7" i="15"/>
  <c r="U7" i="15"/>
  <c r="T7" i="15"/>
  <c r="R7" i="15"/>
  <c r="V12" i="15"/>
  <c r="X17" i="18"/>
  <c r="U17" i="18"/>
  <c r="S17" i="18"/>
  <c r="R17" i="18"/>
  <c r="P17" i="18"/>
  <c r="O17" i="18"/>
  <c r="L17" i="18"/>
  <c r="J17" i="18"/>
  <c r="G17" i="18"/>
  <c r="E17" i="18"/>
  <c r="D17" i="18"/>
  <c r="C17" i="18"/>
  <c r="AB17" i="18"/>
  <c r="AA17" i="18"/>
  <c r="Y17" i="18"/>
  <c r="W17" i="18"/>
  <c r="E6" i="5"/>
  <c r="X15" i="5"/>
  <c r="U15" i="5"/>
  <c r="Z15" i="5"/>
  <c r="AA3" i="6"/>
  <c r="Y14" i="7"/>
  <c r="AA2" i="10"/>
  <c r="P14" i="10"/>
  <c r="P15" i="10"/>
  <c r="C3" i="11"/>
  <c r="C6" i="11"/>
  <c r="Z12" i="11"/>
  <c r="C17" i="11"/>
  <c r="R15" i="12"/>
  <c r="AB3" i="13"/>
  <c r="T15" i="13"/>
  <c r="C7" i="15"/>
  <c r="X12" i="15"/>
  <c r="T7" i="16"/>
  <c r="I17" i="18"/>
  <c r="X14" i="7"/>
  <c r="AB12" i="11"/>
  <c r="P13" i="15"/>
  <c r="M13" i="15"/>
  <c r="L13" i="15"/>
  <c r="I13" i="15"/>
  <c r="AA13" i="15"/>
  <c r="Z13" i="15"/>
  <c r="V13" i="15"/>
  <c r="I6" i="5"/>
  <c r="K14" i="12"/>
  <c r="AB14" i="12"/>
  <c r="D15" i="5"/>
  <c r="K6" i="6"/>
  <c r="K6" i="7"/>
  <c r="W13" i="7"/>
  <c r="AB14" i="7"/>
  <c r="Y15" i="7"/>
  <c r="K7" i="8"/>
  <c r="G14" i="8"/>
  <c r="Z17" i="9"/>
  <c r="R17" i="9"/>
  <c r="O17" i="9"/>
  <c r="J3" i="10"/>
  <c r="S14" i="10"/>
  <c r="T15" i="10"/>
  <c r="E3" i="11"/>
  <c r="G6" i="11"/>
  <c r="J17" i="11"/>
  <c r="L14" i="12"/>
  <c r="T15" i="12"/>
  <c r="F13" i="13"/>
  <c r="W15" i="13"/>
  <c r="E7" i="15"/>
  <c r="C13" i="15"/>
  <c r="N17" i="18"/>
  <c r="X12" i="6"/>
  <c r="Y12" i="6"/>
  <c r="P13" i="10"/>
  <c r="F13" i="10"/>
  <c r="R14" i="10"/>
  <c r="D17" i="11"/>
  <c r="J6" i="5"/>
  <c r="N6" i="7"/>
  <c r="M7" i="8"/>
  <c r="G13" i="13"/>
  <c r="AB13" i="14"/>
  <c r="X13" i="14"/>
  <c r="Q13" i="14"/>
  <c r="F7" i="15"/>
  <c r="D13" i="15"/>
  <c r="C15" i="18"/>
  <c r="AB15" i="18"/>
  <c r="AA15" i="18"/>
  <c r="Y15" i="18"/>
  <c r="X15" i="18"/>
  <c r="W15" i="18"/>
  <c r="S15" i="18"/>
  <c r="M15" i="18"/>
  <c r="K15" i="18"/>
  <c r="J15" i="18"/>
  <c r="E15" i="18"/>
  <c r="D13" i="5"/>
  <c r="AB15" i="5"/>
  <c r="S14" i="6"/>
  <c r="R15" i="6"/>
  <c r="C2" i="5"/>
  <c r="K6" i="5"/>
  <c r="F13" i="5"/>
  <c r="E15" i="5"/>
  <c r="X15" i="7"/>
  <c r="AB15" i="7"/>
  <c r="E15" i="7"/>
  <c r="H3" i="11"/>
  <c r="Q14" i="12"/>
  <c r="V15" i="12"/>
  <c r="Y15" i="13"/>
  <c r="D2" i="5"/>
  <c r="M6" i="5"/>
  <c r="G13" i="5"/>
  <c r="F15" i="5"/>
  <c r="W14" i="6"/>
  <c r="T15" i="6"/>
  <c r="N2" i="7"/>
  <c r="O6" i="7"/>
  <c r="T12" i="7"/>
  <c r="AA13" i="7"/>
  <c r="C15" i="7"/>
  <c r="O7" i="8"/>
  <c r="K13" i="8"/>
  <c r="I14" i="8"/>
  <c r="J14" i="9"/>
  <c r="F17" i="9"/>
  <c r="R6" i="10"/>
  <c r="M13" i="10"/>
  <c r="V14" i="10"/>
  <c r="V15" i="10"/>
  <c r="I3" i="11"/>
  <c r="I6" i="11"/>
  <c r="P17" i="11"/>
  <c r="I7" i="13"/>
  <c r="U6" i="14"/>
  <c r="Z6" i="14"/>
  <c r="X6" i="14"/>
  <c r="S6" i="14"/>
  <c r="J6" i="14"/>
  <c r="G6" i="14"/>
  <c r="E13" i="14"/>
  <c r="H7" i="15"/>
  <c r="E13" i="15"/>
  <c r="AB2" i="16"/>
  <c r="W2" i="16"/>
  <c r="U2" i="16"/>
  <c r="Q2" i="16"/>
  <c r="D15" i="18"/>
  <c r="T17" i="18"/>
  <c r="O3" i="19"/>
  <c r="I3" i="19"/>
  <c r="H3" i="19"/>
  <c r="G3" i="19"/>
  <c r="F3" i="19"/>
  <c r="D3" i="19"/>
  <c r="AB3" i="19"/>
  <c r="C3" i="19"/>
  <c r="Y3" i="19"/>
  <c r="W3" i="19"/>
  <c r="U3" i="19"/>
  <c r="T3" i="19"/>
  <c r="S3" i="19"/>
  <c r="R3" i="19"/>
  <c r="P3" i="19"/>
  <c r="N3" i="19"/>
  <c r="M3" i="19"/>
  <c r="K3" i="19"/>
  <c r="AA14" i="7"/>
  <c r="D3" i="11"/>
  <c r="E6" i="11"/>
  <c r="W13" i="13"/>
  <c r="Z13" i="13"/>
  <c r="P13" i="13"/>
  <c r="N13" i="13"/>
  <c r="L6" i="6"/>
  <c r="J12" i="6"/>
  <c r="T14" i="6"/>
  <c r="S15" i="6"/>
  <c r="X13" i="7"/>
  <c r="H13" i="10"/>
  <c r="U14" i="10"/>
  <c r="H6" i="11"/>
  <c r="O17" i="11"/>
  <c r="AB14" i="16"/>
  <c r="Y14" i="16"/>
  <c r="J14" i="16"/>
  <c r="F14" i="16"/>
  <c r="T2" i="6"/>
  <c r="M6" i="6"/>
  <c r="K12" i="6"/>
  <c r="AA15" i="7"/>
  <c r="X8" i="9"/>
  <c r="R14" i="12"/>
  <c r="W15" i="12"/>
  <c r="Z15" i="13"/>
  <c r="R6" i="5"/>
  <c r="H13" i="5"/>
  <c r="G15" i="5"/>
  <c r="D17" i="5"/>
  <c r="Z2" i="6"/>
  <c r="L12" i="6"/>
  <c r="S13" i="6"/>
  <c r="X14" i="6"/>
  <c r="U15" i="6"/>
  <c r="O17" i="6"/>
  <c r="O2" i="7"/>
  <c r="P6" i="7"/>
  <c r="P7" i="7"/>
  <c r="N8" i="7"/>
  <c r="V12" i="7"/>
  <c r="AB13" i="7"/>
  <c r="D15" i="7"/>
  <c r="V17" i="7"/>
  <c r="S2" i="8"/>
  <c r="V3" i="8"/>
  <c r="P7" i="8"/>
  <c r="L13" i="8"/>
  <c r="J14" i="8"/>
  <c r="U7" i="9"/>
  <c r="Y8" i="9"/>
  <c r="K14" i="9"/>
  <c r="G17" i="9"/>
  <c r="AA6" i="10"/>
  <c r="Y13" i="10"/>
  <c r="W14" i="10"/>
  <c r="W15" i="10"/>
  <c r="J6" i="11"/>
  <c r="P7" i="11"/>
  <c r="T8" i="11"/>
  <c r="Q14" i="11"/>
  <c r="V14" i="12"/>
  <c r="Z15" i="12"/>
  <c r="R2" i="13"/>
  <c r="L7" i="13"/>
  <c r="K13" i="13"/>
  <c r="V14" i="13"/>
  <c r="AA15" i="13"/>
  <c r="P3" i="14"/>
  <c r="E6" i="14"/>
  <c r="M7" i="14"/>
  <c r="G13" i="14"/>
  <c r="R15" i="14"/>
  <c r="O2" i="15"/>
  <c r="I7" i="15"/>
  <c r="N8" i="15"/>
  <c r="F13" i="15"/>
  <c r="D2" i="16"/>
  <c r="G14" i="16"/>
  <c r="X12" i="17"/>
  <c r="I12" i="17"/>
  <c r="H12" i="17"/>
  <c r="F12" i="17"/>
  <c r="E12" i="17"/>
  <c r="AB12" i="17"/>
  <c r="W12" i="17"/>
  <c r="V12" i="17"/>
  <c r="U12" i="17"/>
  <c r="S12" i="17"/>
  <c r="Q12" i="17"/>
  <c r="Q15" i="18"/>
  <c r="V17" i="18"/>
  <c r="E3" i="19"/>
  <c r="AB8" i="18"/>
  <c r="Y12" i="18"/>
  <c r="H2" i="19"/>
  <c r="N6" i="19"/>
  <c r="M8" i="19"/>
  <c r="C12" i="19"/>
  <c r="K13" i="19"/>
  <c r="T14" i="19"/>
  <c r="K3" i="18"/>
  <c r="C8" i="18"/>
  <c r="Z12" i="18"/>
  <c r="M2" i="19"/>
  <c r="O6" i="19"/>
  <c r="N8" i="19"/>
  <c r="E12" i="19"/>
  <c r="L13" i="19"/>
  <c r="U14" i="19"/>
  <c r="M3" i="18"/>
  <c r="D8" i="18"/>
  <c r="N2" i="19"/>
  <c r="R6" i="19"/>
  <c r="O8" i="19"/>
  <c r="F12" i="19"/>
  <c r="M13" i="19"/>
  <c r="V14" i="19"/>
  <c r="X15" i="15"/>
  <c r="D8" i="17"/>
  <c r="C15" i="17"/>
  <c r="N3" i="18"/>
  <c r="E8" i="18"/>
  <c r="O2" i="19"/>
  <c r="W6" i="19"/>
  <c r="P8" i="19"/>
  <c r="G12" i="19"/>
  <c r="O13" i="19"/>
  <c r="AB14" i="19"/>
  <c r="Q8" i="19"/>
  <c r="H12" i="19"/>
  <c r="G3" i="12"/>
  <c r="AA15" i="15"/>
  <c r="F6" i="16"/>
  <c r="H8" i="17"/>
  <c r="H15" i="17"/>
  <c r="L17" i="17"/>
  <c r="Q3" i="18"/>
  <c r="I6" i="18"/>
  <c r="G8" i="18"/>
  <c r="H13" i="18"/>
  <c r="R2" i="19"/>
  <c r="C7" i="19"/>
  <c r="R8" i="19"/>
  <c r="I12" i="19"/>
  <c r="Q13" i="19"/>
  <c r="C15" i="19"/>
  <c r="G6" i="16"/>
  <c r="J8" i="17"/>
  <c r="I15" i="17"/>
  <c r="M17" i="17"/>
  <c r="R3" i="18"/>
  <c r="J6" i="18"/>
  <c r="J8" i="18"/>
  <c r="P13" i="18"/>
  <c r="S2" i="19"/>
  <c r="F7" i="19"/>
  <c r="S8" i="19"/>
  <c r="J12" i="19"/>
  <c r="T13" i="19"/>
  <c r="E15" i="19"/>
  <c r="N8" i="17"/>
  <c r="N15" i="17"/>
  <c r="O17" i="17"/>
  <c r="S3" i="18"/>
  <c r="K6" i="18"/>
  <c r="K8" i="18"/>
  <c r="U2" i="19"/>
  <c r="G7" i="19"/>
  <c r="T8" i="19"/>
  <c r="L12" i="19"/>
  <c r="V13" i="19"/>
  <c r="F15" i="19"/>
  <c r="V2" i="19"/>
  <c r="H7" i="19"/>
  <c r="V8" i="19"/>
  <c r="P12" i="19"/>
  <c r="W13" i="19"/>
  <c r="G15" i="19"/>
  <c r="K6" i="16"/>
  <c r="Q8" i="17"/>
  <c r="U17" i="17"/>
  <c r="Y3" i="18"/>
  <c r="Q6" i="18"/>
  <c r="O8" i="18"/>
  <c r="L14" i="18"/>
  <c r="X2" i="19"/>
  <c r="M7" i="19"/>
  <c r="Y8" i="19"/>
  <c r="R12" i="19"/>
  <c r="Z13" i="19"/>
  <c r="L15" i="19"/>
  <c r="C17" i="19"/>
  <c r="W17" i="17"/>
  <c r="W6" i="18"/>
  <c r="P8" i="18"/>
  <c r="Q14" i="18"/>
  <c r="Z2" i="19"/>
  <c r="R7" i="19"/>
  <c r="Z8" i="19"/>
  <c r="T12" i="19"/>
  <c r="AA13" i="19"/>
  <c r="M15" i="19"/>
  <c r="E17" i="19"/>
  <c r="O15" i="19"/>
  <c r="F17" i="19"/>
  <c r="AB8" i="19"/>
  <c r="V12" i="19"/>
  <c r="F14" i="19"/>
  <c r="P15" i="19"/>
  <c r="G17" i="19"/>
  <c r="X13" i="11"/>
  <c r="U3" i="12"/>
  <c r="R8" i="13"/>
  <c r="S3" i="16"/>
  <c r="O6" i="16"/>
  <c r="U8" i="17"/>
  <c r="N13" i="17"/>
  <c r="Z17" i="17"/>
  <c r="S8" i="18"/>
  <c r="V14" i="18"/>
  <c r="C8" i="19"/>
  <c r="Y12" i="19"/>
  <c r="G14" i="19"/>
  <c r="Q15" i="19"/>
  <c r="M17" i="19"/>
  <c r="T3" i="16"/>
  <c r="Q6" i="16"/>
  <c r="V8" i="17"/>
  <c r="Q13" i="17"/>
  <c r="T8" i="18"/>
  <c r="X14" i="18"/>
  <c r="D8" i="19"/>
  <c r="AA12" i="19"/>
  <c r="H14" i="19"/>
  <c r="W15" i="19"/>
  <c r="O17" i="19"/>
  <c r="E8" i="19"/>
  <c r="AB12" i="19"/>
  <c r="J14" i="19"/>
  <c r="Y15" i="19"/>
  <c r="Q17" i="19"/>
  <c r="E15" i="15"/>
  <c r="X3" i="16"/>
  <c r="T6" i="16"/>
  <c r="Y8" i="17"/>
  <c r="S13" i="17"/>
  <c r="V8" i="18"/>
  <c r="AA14" i="18"/>
  <c r="D6" i="19"/>
  <c r="F8" i="19"/>
  <c r="K14" i="19"/>
  <c r="AA15" i="19"/>
  <c r="R17" i="19"/>
  <c r="V6" i="16"/>
  <c r="AA8" i="17"/>
  <c r="D3" i="18"/>
  <c r="E6" i="19"/>
  <c r="G8" i="19"/>
  <c r="C13" i="19"/>
  <c r="L14" i="19"/>
  <c r="AB15" i="19"/>
  <c r="V17" i="19"/>
  <c r="G6" i="19"/>
  <c r="H8" i="19"/>
  <c r="D13" i="19"/>
  <c r="O14" i="19"/>
  <c r="Y17" i="19"/>
  <c r="C2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<sst xmlns="http://schemas.openxmlformats.org/spreadsheetml/2006/main" count="3113" uniqueCount="587">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</sst>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130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NY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7.3438158099611614E-2</v>
      </c>
      <c r="C2" s="7">
        <f>$B2 * IFERROR(VLOOKUP("transport|PM25|Premature mortality", US_national_yearly!$D:$AM, 11, FALSE) / VLOOKUP("transport|PM25|Premature mortality", US_national_yearly!$D:$AM, 10, FALSE), 1)</f>
        <v>7.4348630321341619E-2</v>
      </c>
      <c r="D2" s="7">
        <f>$B2 * IFERROR(VLOOKUP("transport|PM25|Premature mortality", US_national_yearly!$D:$AM, 12, FALSE) / VLOOKUP("transport|PM25|Premature mortality", US_national_yearly!$D:$AM, 10, FALSE), 1)</f>
        <v>7.525910254307161E-2</v>
      </c>
      <c r="E2" s="7">
        <f>$B2 * IFERROR(VLOOKUP("transport|PM25|Premature mortality", US_national_yearly!$D:$AM, 13, FALSE) / VLOOKUP("transport|PM25|Premature mortality", US_national_yearly!$D:$AM, 10, FALSE), 1)</f>
        <v>7.6169574764801601E-2</v>
      </c>
      <c r="F2" s="7">
        <f>$B2 * IFERROR(VLOOKUP("transport|PM25|Premature mortality", US_national_yearly!$D:$AM, 14, FALSE) / VLOOKUP("transport|PM25|Premature mortality", US_national_yearly!$D:$AM, 10, FALSE), 1)</f>
        <v>7.7080046986531592E-2</v>
      </c>
      <c r="G2" s="7">
        <f>$B2 * IFERROR(VLOOKUP("transport|PM25|Premature mortality", US_national_yearly!$D:$AM, 15, FALSE) / VLOOKUP("transport|PM25|Premature mortality", US_national_yearly!$D:$AM, 10, FALSE), 1)</f>
        <v>7.885318477173181E-2</v>
      </c>
      <c r="H2" s="7">
        <f>$B2 * IFERROR(VLOOKUP("transport|PM25|Premature mortality", US_national_yearly!$D:$AM, 16, FALSE) / VLOOKUP("transport|PM25|Premature mortality", US_national_yearly!$D:$AM, 10, FALSE), 1)</f>
        <v>8.0626322556932029E-2</v>
      </c>
      <c r="I2" s="7">
        <f>$B2 * IFERROR(VLOOKUP("transport|PM25|Premature mortality", US_national_yearly!$D:$AM, 17, FALSE) / VLOOKUP("transport|PM25|Premature mortality", US_national_yearly!$D:$AM, 10, FALSE), 1)</f>
        <v>8.1790994094726732E-2</v>
      </c>
      <c r="J2" s="7">
        <f>$B2 * IFERROR(VLOOKUP("transport|PM25|Premature mortality", US_national_yearly!$D:$AM, 18, FALSE) / VLOOKUP("transport|PM25|Premature mortality", US_national_yearly!$D:$AM, 10, FALSE), 1)</f>
        <v>8.2955665632521478E-2</v>
      </c>
      <c r="K2" s="7">
        <f>$B2 * IFERROR(VLOOKUP("transport|PM25|Premature mortality", US_national_yearly!$D:$AM, 19, FALSE) / VLOOKUP("transport|PM25|Premature mortality", US_national_yearly!$D:$AM, 10, FALSE), 1)</f>
        <v>8.4120337170316195E-2</v>
      </c>
      <c r="L2" s="7">
        <f>$B2 * IFERROR(VLOOKUP("transport|PM25|Premature mortality", US_national_yearly!$D:$AM, 20, FALSE) / VLOOKUP("transport|PM25|Premature mortality", US_national_yearly!$D:$AM, 10, FALSE), 1)</f>
        <v>8.528500870811094E-2</v>
      </c>
      <c r="M2" s="7">
        <f>$B2 * IFERROR(VLOOKUP("transport|PM25|Premature mortality", US_national_yearly!$D:$AM, 21, FALSE) / VLOOKUP("transport|PM25|Premature mortality", US_national_yearly!$D:$AM, 10, FALSE), 1)</f>
        <v>8.6449680245905672E-2</v>
      </c>
      <c r="N2" s="7">
        <f>$B2 * IFERROR(VLOOKUP("transport|PM25|Premature mortality", US_national_yearly!$D:$AM, 22, FALSE) / VLOOKUP("transport|PM25|Premature mortality", US_national_yearly!$D:$AM, 10, FALSE), 1)</f>
        <v>8.7353973570602025E-2</v>
      </c>
      <c r="O2" s="7">
        <f>$B2 * IFERROR(VLOOKUP("transport|PM25|Premature mortality", US_national_yearly!$D:$AM, 23, FALSE) / VLOOKUP("transport|PM25|Premature mortality", US_national_yearly!$D:$AM, 10, FALSE), 1)</f>
        <v>8.8258266895298379E-2</v>
      </c>
      <c r="P2" s="7">
        <f>$B2 * IFERROR(VLOOKUP("transport|PM25|Premature mortality", US_national_yearly!$D:$AM, 24, FALSE) / VLOOKUP("transport|PM25|Premature mortality", US_national_yearly!$D:$AM, 10, FALSE), 1)</f>
        <v>8.9162560219994733E-2</v>
      </c>
      <c r="Q2" s="7">
        <f>$B2 * IFERROR(VLOOKUP("transport|PM25|Premature mortality", US_national_yearly!$D:$AM, 25, FALSE) / VLOOKUP("transport|PM25|Premature mortality", US_national_yearly!$D:$AM, 10, FALSE), 1)</f>
        <v>9.0066853544691086E-2</v>
      </c>
      <c r="R2" s="7">
        <f>$B2 * IFERROR(VLOOKUP("transport|PM25|Premature mortality", US_national_yearly!$D:$AM, 26, FALSE) / VLOOKUP("transport|PM25|Premature mortality", US_national_yearly!$D:$AM, 10, FALSE), 1)</f>
        <v>9.0971146869387454E-2</v>
      </c>
      <c r="S2" s="7">
        <f>$B2 * IFERROR(VLOOKUP("transport|PM25|Premature mortality", US_national_yearly!$D:$AM, 27, FALSE) / VLOOKUP("transport|PM25|Premature mortality", US_national_yearly!$D:$AM, 10, FALSE), 1)</f>
        <v>9.1450214605361402E-2</v>
      </c>
      <c r="T2" s="7">
        <f>$B2 * IFERROR(VLOOKUP("transport|PM25|Premature mortality", US_national_yearly!$D:$AM, 28, FALSE) / VLOOKUP("transport|PM25|Premature mortality", US_national_yearly!$D:$AM, 10, FALSE), 1)</f>
        <v>9.1929282341335322E-2</v>
      </c>
      <c r="U2" s="7">
        <f>$B2 * IFERROR(VLOOKUP("transport|PM25|Premature mortality", US_national_yearly!$D:$AM, 29, FALSE) / VLOOKUP("transport|PM25|Premature mortality", US_national_yearly!$D:$AM, 10, FALSE), 1)</f>
        <v>9.2408350077309256E-2</v>
      </c>
      <c r="V2" s="7">
        <f>$B2 * IFERROR(VLOOKUP("transport|PM25|Premature mortality", US_national_yearly!$D:$AM, 30, FALSE) / VLOOKUP("transport|PM25|Premature mortality", US_national_yearly!$D:$AM, 10, FALSE), 1)</f>
        <v>9.2887417813283177E-2</v>
      </c>
      <c r="W2" s="7">
        <f>$B2 * IFERROR(VLOOKUP("transport|PM25|Premature mortality", US_national_yearly!$D:$AM, 31, FALSE) / VLOOKUP("transport|PM25|Premature mortality", US_national_yearly!$D:$AM, 10, FALSE), 1)</f>
        <v>9.3366485549257111E-2</v>
      </c>
      <c r="X2" s="7">
        <f>$B2 * IFERROR(VLOOKUP("transport|PM25|Premature mortality", US_national_yearly!$D:$AM, 32, FALSE) / VLOOKUP("transport|PM25|Premature mortality", US_national_yearly!$D:$AM, 10, FALSE), 1)</f>
        <v>9.3450254248737818E-2</v>
      </c>
      <c r="Y2" s="7">
        <f>$B2 * IFERROR(VLOOKUP("transport|PM25|Premature mortality", US_national_yearly!$D:$AM, 33, FALSE) / VLOOKUP("transport|PM25|Premature mortality", US_national_yearly!$D:$AM, 10, FALSE), 1)</f>
        <v>9.3534022948218526E-2</v>
      </c>
      <c r="Z2" s="7">
        <f>$B2 * IFERROR(VLOOKUP("transport|PM25|Premature mortality", US_national_yearly!$D:$AM, 34, FALSE) / VLOOKUP("transport|PM25|Premature mortality", US_national_yearly!$D:$AM, 10, FALSE), 1)</f>
        <v>9.3617791647699233E-2</v>
      </c>
      <c r="AA2" s="7">
        <f>$B2 * IFERROR(VLOOKUP("transport|PM25|Premature mortality", US_national_yearly!$D:$AM, 35, FALSE) / VLOOKUP("transport|PM25|Premature mortality", US_national_yearly!$D:$AM, 10, FALSE), 1)</f>
        <v>9.3701560347179941E-2</v>
      </c>
      <c r="AB2" s="7">
        <f>$B2 * IFERROR(VLOOKUP("transport|PM25|Premature mortality", US_national_yearly!$D:$AM, 36, FALSE) / VLOOKUP("transport|PM25|Premature mortality", US_national_yearly!$D:$AM, 10, FALSE), 1)</f>
        <v>9.3785329046660648E-2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1.5929442481952058E-4</v>
      </c>
      <c r="C3" s="7">
        <f>$B3 * IFERROR(VLOOKUP("transport|PM25|Infant mortality", US_national_yearly!$D:$AM, 11, FALSE) / VLOOKUP("transport|PM25|Infant mortality", US_national_yearly!$D:$AM, 10, FALSE), 1)</f>
        <v>1.5790552279229309E-4</v>
      </c>
      <c r="D3" s="7">
        <f>$B3 * IFERROR(VLOOKUP("transport|PM25|Infant mortality", US_national_yearly!$D:$AM, 12, FALSE) / VLOOKUP("transport|PM25|Infant mortality", US_national_yearly!$D:$AM, 10, FALSE), 1)</f>
        <v>1.5651662076506559E-4</v>
      </c>
      <c r="E3" s="7">
        <f>$B3 * IFERROR(VLOOKUP("transport|PM25|Infant mortality", US_national_yearly!$D:$AM, 13, FALSE) / VLOOKUP("transport|PM25|Infant mortality", US_national_yearly!$D:$AM, 10, FALSE), 1)</f>
        <v>1.5512771873783809E-4</v>
      </c>
      <c r="F3" s="7">
        <f>$B3 * IFERROR(VLOOKUP("transport|PM25|Infant mortality", US_national_yearly!$D:$AM, 14, FALSE) / VLOOKUP("transport|PM25|Infant mortality", US_national_yearly!$D:$AM, 10, FALSE), 1)</f>
        <v>1.5373881671061057E-4</v>
      </c>
      <c r="G3" s="7">
        <f>$B3 * IFERROR(VLOOKUP("transport|PM25|Infant mortality", US_national_yearly!$D:$AM, 15, FALSE) / VLOOKUP("transport|PM25|Infant mortality", US_national_yearly!$D:$AM, 10, FALSE), 1)</f>
        <v>1.0224453690258791E-4</v>
      </c>
      <c r="H3" s="7">
        <f>$B3 * IFERROR(VLOOKUP("transport|PM25|Infant mortality", US_national_yearly!$D:$AM, 16, FALSE) / VLOOKUP("transport|PM25|Infant mortality", US_national_yearly!$D:$AM, 10, FALSE), 1)</f>
        <v>5.0750257094565221E-5</v>
      </c>
      <c r="I3" s="7">
        <f>$B3 * IFERROR(VLOOKUP("transport|PM25|Infant mortality", US_national_yearly!$D:$AM, 17, FALSE) / VLOOKUP("transport|PM25|Infant mortality", US_national_yearly!$D:$AM, 10, FALSE), 1)</f>
        <v>5.0418520332503657E-5</v>
      </c>
      <c r="J3" s="7">
        <f>$B3 * IFERROR(VLOOKUP("transport|PM25|Infant mortality", US_national_yearly!$D:$AM, 18, FALSE) / VLOOKUP("transport|PM25|Infant mortality", US_national_yearly!$D:$AM, 10, FALSE), 1)</f>
        <v>5.008678357044208E-5</v>
      </c>
      <c r="K3" s="7">
        <f>$B3 * IFERROR(VLOOKUP("transport|PM25|Infant mortality", US_national_yearly!$D:$AM, 19, FALSE) / VLOOKUP("transport|PM25|Infant mortality", US_national_yearly!$D:$AM, 10, FALSE), 1)</f>
        <v>4.9755046808380509E-5</v>
      </c>
      <c r="L3" s="7">
        <f>$B3 * IFERROR(VLOOKUP("transport|PM25|Infant mortality", US_national_yearly!$D:$AM, 20, FALSE) / VLOOKUP("transport|PM25|Infant mortality", US_national_yearly!$D:$AM, 10, FALSE), 1)</f>
        <v>4.9423310046318945E-5</v>
      </c>
      <c r="M3" s="7">
        <f>$B3 * IFERROR(VLOOKUP("transport|PM25|Infant mortality", US_national_yearly!$D:$AM, 21, FALSE) / VLOOKUP("transport|PM25|Infant mortality", US_national_yearly!$D:$AM, 10, FALSE), 1)</f>
        <v>4.9091573284257381E-5</v>
      </c>
      <c r="N3" s="7">
        <f>$B3 * IFERROR(VLOOKUP("transport|PM25|Infant mortality", US_national_yearly!$D:$AM, 22, FALSE) / VLOOKUP("transport|PM25|Infant mortality", US_national_yearly!$D:$AM, 10, FALSE), 1)</f>
        <v>4.8883205870836247E-5</v>
      </c>
      <c r="O3" s="7">
        <f>$B3 * IFERROR(VLOOKUP("transport|PM25|Infant mortality", US_national_yearly!$D:$AM, 23, FALSE) / VLOOKUP("transport|PM25|Infant mortality", US_national_yearly!$D:$AM, 10, FALSE), 1)</f>
        <v>4.8674838457415119E-5</v>
      </c>
      <c r="P3" s="7">
        <f>$B3 * IFERROR(VLOOKUP("transport|PM25|Infant mortality", US_national_yearly!$D:$AM, 24, FALSE) / VLOOKUP("transport|PM25|Infant mortality", US_national_yearly!$D:$AM, 10, FALSE), 1)</f>
        <v>4.8466471043993978E-5</v>
      </c>
      <c r="Q3" s="7">
        <f>$B3 * IFERROR(VLOOKUP("transport|PM25|Infant mortality", US_national_yearly!$D:$AM, 25, FALSE) / VLOOKUP("transport|PM25|Infant mortality", US_national_yearly!$D:$AM, 10, FALSE), 1)</f>
        <v>4.825810363057285E-5</v>
      </c>
      <c r="R3" s="7">
        <f>$B3 * IFERROR(VLOOKUP("transport|PM25|Infant mortality", US_national_yearly!$D:$AM, 26, FALSE) / VLOOKUP("transport|PM25|Infant mortality", US_national_yearly!$D:$AM, 10, FALSE), 1)</f>
        <v>4.8049736217151716E-5</v>
      </c>
      <c r="S3" s="7">
        <f>$B3 * IFERROR(VLOOKUP("transport|PM25|Infant mortality", US_national_yearly!$D:$AM, 27, FALSE) / VLOOKUP("transport|PM25|Infant mortality", US_national_yearly!$D:$AM, 10, FALSE), 1)</f>
        <v>4.7790001975917404E-5</v>
      </c>
      <c r="T3" s="7">
        <f>$B3 * IFERROR(VLOOKUP("transport|PM25|Infant mortality", US_national_yearly!$D:$AM, 28, FALSE) / VLOOKUP("transport|PM25|Infant mortality", US_national_yearly!$D:$AM, 10, FALSE), 1)</f>
        <v>4.7530267734683084E-5</v>
      </c>
      <c r="U3" s="7">
        <f>$B3 * IFERROR(VLOOKUP("transport|PM25|Infant mortality", US_national_yearly!$D:$AM, 29, FALSE) / VLOOKUP("transport|PM25|Infant mortality", US_national_yearly!$D:$AM, 10, FALSE), 1)</f>
        <v>4.7270533493448772E-5</v>
      </c>
      <c r="V3" s="7">
        <f>$B3 * IFERROR(VLOOKUP("transport|PM25|Infant mortality", US_national_yearly!$D:$AM, 30, FALSE) / VLOOKUP("transport|PM25|Infant mortality", US_national_yearly!$D:$AM, 10, FALSE), 1)</f>
        <v>4.7010799252214459E-5</v>
      </c>
      <c r="W3" s="7">
        <f>$B3 * IFERROR(VLOOKUP("transport|PM25|Infant mortality", US_national_yearly!$D:$AM, 31, FALSE) / VLOOKUP("transport|PM25|Infant mortality", US_national_yearly!$D:$AM, 10, FALSE), 1)</f>
        <v>4.6751065010980133E-5</v>
      </c>
      <c r="X3" s="7">
        <f>$B3 * IFERROR(VLOOKUP("transport|PM25|Infant mortality", US_national_yearly!$D:$AM, 32, FALSE) / VLOOKUP("transport|PM25|Infant mortality", US_national_yearly!$D:$AM, 10, FALSE), 1)</f>
        <v>4.6471038853760293E-5</v>
      </c>
      <c r="Y3" s="7">
        <f>$B3 * IFERROR(VLOOKUP("transport|PM25|Infant mortality", US_national_yearly!$D:$AM, 33, FALSE) / VLOOKUP("transport|PM25|Infant mortality", US_national_yearly!$D:$AM, 10, FALSE), 1)</f>
        <v>4.6191012696540439E-5</v>
      </c>
      <c r="Z3" s="7">
        <f>$B3 * IFERROR(VLOOKUP("transport|PM25|Infant mortality", US_national_yearly!$D:$AM, 34, FALSE) / VLOOKUP("transport|PM25|Infant mortality", US_national_yearly!$D:$AM, 10, FALSE), 1)</f>
        <v>4.5910986539320599E-5</v>
      </c>
      <c r="AA3" s="7">
        <f>$B3 * IFERROR(VLOOKUP("transport|PM25|Infant mortality", US_national_yearly!$D:$AM, 35, FALSE) / VLOOKUP("transport|PM25|Infant mortality", US_national_yearly!$D:$AM, 10, FALSE), 1)</f>
        <v>4.5630960382100752E-5</v>
      </c>
      <c r="AB3" s="7">
        <f>$B3 * IFERROR(VLOOKUP("transport|PM25|Infant mortality", US_national_yearly!$D:$AM, 36, FALSE) / VLOOKUP("transport|PM25|Infant mortality", US_national_yearly!$D:$AM, 10, FALSE), 1)</f>
        <v>4.5350934224880911E-5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0.22187788027106753</v>
      </c>
      <c r="C6" s="7">
        <f>$B6 * IFERROR(VLOOKUP("transport|PM25|Asthma symptoms cough", US_national_yearly!$D:$AM, 11, FALSE) / VLOOKUP("transport|PM25|Asthma symptoms cough", US_national_yearly!$D:$AM, 10, FALSE), 1)</f>
        <v>0.22187788027106753</v>
      </c>
      <c r="D6" s="7">
        <f>$B6 * IFERROR(VLOOKUP("transport|PM25|Asthma symptoms cough", US_national_yearly!$D:$AM, 12, FALSE) / VLOOKUP("transport|PM25|Asthma symptoms cough", US_national_yearly!$D:$AM, 10, FALSE), 1)</f>
        <v>0.22187788027106753</v>
      </c>
      <c r="E6" s="7">
        <f>$B6 * IFERROR(VLOOKUP("transport|PM25|Asthma symptoms cough", US_national_yearly!$D:$AM, 13, FALSE) / VLOOKUP("transport|PM25|Asthma symptoms cough", US_national_yearly!$D:$AM, 10, FALSE), 1)</f>
        <v>0.22187788027106753</v>
      </c>
      <c r="F6" s="7">
        <f>$B6 * IFERROR(VLOOKUP("transport|PM25|Asthma symptoms cough", US_national_yearly!$D:$AM, 14, FALSE) / VLOOKUP("transport|PM25|Asthma symptoms cough", US_national_yearly!$D:$AM, 10, FALSE), 1)</f>
        <v>0.22187788027106753</v>
      </c>
      <c r="G6" s="7">
        <f>$B6 * IFERROR(VLOOKUP("transport|PM25|Asthma symptoms cough", US_national_yearly!$D:$AM, 15, FALSE) / VLOOKUP("transport|PM25|Asthma symptoms cough", US_national_yearly!$D:$AM, 10, FALSE), 1)</f>
        <v>0.22187788027106753</v>
      </c>
      <c r="H6" s="7">
        <f>$B6 * IFERROR(VLOOKUP("transport|PM25|Asthma symptoms cough", US_national_yearly!$D:$AM, 16, FALSE) / VLOOKUP("transport|PM25|Asthma symptoms cough", US_national_yearly!$D:$AM, 10, FALSE), 1)</f>
        <v>0.22187788027106753</v>
      </c>
      <c r="I6" s="7">
        <f>$B6 * IFERROR(VLOOKUP("transport|PM25|Asthma symptoms cough", US_national_yearly!$D:$AM, 17, FALSE) / VLOOKUP("transport|PM25|Asthma symptoms cough", US_national_yearly!$D:$AM, 10, FALSE), 1)</f>
        <v>0.22187788027106753</v>
      </c>
      <c r="J6" s="7">
        <f>$B6 * IFERROR(VLOOKUP("transport|PM25|Asthma symptoms cough", US_national_yearly!$D:$AM, 18, FALSE) / VLOOKUP("transport|PM25|Asthma symptoms cough", US_national_yearly!$D:$AM, 10, FALSE), 1)</f>
        <v>0.22187788027106753</v>
      </c>
      <c r="K6" s="7">
        <f>$B6 * IFERROR(VLOOKUP("transport|PM25|Asthma symptoms cough", US_national_yearly!$D:$AM, 19, FALSE) / VLOOKUP("transport|PM25|Asthma symptoms cough", US_national_yearly!$D:$AM, 10, FALSE), 1)</f>
        <v>0.22187788027106753</v>
      </c>
      <c r="L6" s="7">
        <f>$B6 * IFERROR(VLOOKUP("transport|PM25|Asthma symptoms cough", US_national_yearly!$D:$AM, 20, FALSE) / VLOOKUP("transport|PM25|Asthma symptoms cough", US_national_yearly!$D:$AM, 10, FALSE), 1)</f>
        <v>0.22187788027106753</v>
      </c>
      <c r="M6" s="7">
        <f>$B6 * IFERROR(VLOOKUP("transport|PM25|Asthma symptoms cough", US_national_yearly!$D:$AM, 21, FALSE) / VLOOKUP("transport|PM25|Asthma symptoms cough", US_national_yearly!$D:$AM, 10, FALSE), 1)</f>
        <v>0.22187788027106753</v>
      </c>
      <c r="N6" s="7">
        <f>$B6 * IFERROR(VLOOKUP("transport|PM25|Asthma symptoms cough", US_national_yearly!$D:$AM, 22, FALSE) / VLOOKUP("transport|PM25|Asthma symptoms cough", US_national_yearly!$D:$AM, 10, FALSE), 1)</f>
        <v>0.22187788027106753</v>
      </c>
      <c r="O6" s="7">
        <f>$B6 * IFERROR(VLOOKUP("transport|PM25|Asthma symptoms cough", US_national_yearly!$D:$AM, 23, FALSE) / VLOOKUP("transport|PM25|Asthma symptoms cough", US_national_yearly!$D:$AM, 10, FALSE), 1)</f>
        <v>0.22187788027106753</v>
      </c>
      <c r="P6" s="7">
        <f>$B6 * IFERROR(VLOOKUP("transport|PM25|Asthma symptoms cough", US_national_yearly!$D:$AM, 24, FALSE) / VLOOKUP("transport|PM25|Asthma symptoms cough", US_national_yearly!$D:$AM, 10, FALSE), 1)</f>
        <v>0.22187788027106753</v>
      </c>
      <c r="Q6" s="7">
        <f>$B6 * IFERROR(VLOOKUP("transport|PM25|Asthma symptoms cough", US_national_yearly!$D:$AM, 25, FALSE) / VLOOKUP("transport|PM25|Asthma symptoms cough", US_national_yearly!$D:$AM, 10, FALSE), 1)</f>
        <v>0.22187788027106753</v>
      </c>
      <c r="R6" s="7">
        <f>$B6 * IFERROR(VLOOKUP("transport|PM25|Asthma symptoms cough", US_national_yearly!$D:$AM, 26, FALSE) / VLOOKUP("transport|PM25|Asthma symptoms cough", US_national_yearly!$D:$AM, 10, FALSE), 1)</f>
        <v>0.22187788027106753</v>
      </c>
      <c r="S6" s="7">
        <f>$B6 * IFERROR(VLOOKUP("transport|PM25|Asthma symptoms cough", US_national_yearly!$D:$AM, 27, FALSE) / VLOOKUP("transport|PM25|Asthma symptoms cough", US_national_yearly!$D:$AM, 10, FALSE), 1)</f>
        <v>0.22187788027106753</v>
      </c>
      <c r="T6" s="7">
        <f>$B6 * IFERROR(VLOOKUP("transport|PM25|Asthma symptoms cough", US_national_yearly!$D:$AM, 28, FALSE) / VLOOKUP("transport|PM25|Asthma symptoms cough", US_national_yearly!$D:$AM, 10, FALSE), 1)</f>
        <v>0.22187788027106753</v>
      </c>
      <c r="U6" s="7">
        <f>$B6 * IFERROR(VLOOKUP("transport|PM25|Asthma symptoms cough", US_national_yearly!$D:$AM, 29, FALSE) / VLOOKUP("transport|PM25|Asthma symptoms cough", US_national_yearly!$D:$AM, 10, FALSE), 1)</f>
        <v>0.22187788027106753</v>
      </c>
      <c r="V6" s="7">
        <f>$B6 * IFERROR(VLOOKUP("transport|PM25|Asthma symptoms cough", US_national_yearly!$D:$AM, 30, FALSE) / VLOOKUP("transport|PM25|Asthma symptoms cough", US_national_yearly!$D:$AM, 10, FALSE), 1)</f>
        <v>0.22187788027106753</v>
      </c>
      <c r="W6" s="7">
        <f>$B6 * IFERROR(VLOOKUP("transport|PM25|Asthma symptoms cough", US_national_yearly!$D:$AM, 31, FALSE) / VLOOKUP("transport|PM25|Asthma symptoms cough", US_national_yearly!$D:$AM, 10, FALSE), 1)</f>
        <v>0.22187788027106753</v>
      </c>
      <c r="X6" s="7">
        <f>$B6 * IFERROR(VLOOKUP("transport|PM25|Asthma symptoms cough", US_national_yearly!$D:$AM, 32, FALSE) / VLOOKUP("transport|PM25|Asthma symptoms cough", US_national_yearly!$D:$AM, 10, FALSE), 1)</f>
        <v>0.22187788027106753</v>
      </c>
      <c r="Y6" s="7">
        <f>$B6 * IFERROR(VLOOKUP("transport|PM25|Asthma symptoms cough", US_national_yearly!$D:$AM, 33, FALSE) / VLOOKUP("transport|PM25|Asthma symptoms cough", US_national_yearly!$D:$AM, 10, FALSE), 1)</f>
        <v>0.22187788027106753</v>
      </c>
      <c r="Z6" s="7">
        <f>$B6 * IFERROR(VLOOKUP("transport|PM25|Asthma symptoms cough", US_national_yearly!$D:$AM, 34, FALSE) / VLOOKUP("transport|PM25|Asthma symptoms cough", US_national_yearly!$D:$AM, 10, FALSE), 1)</f>
        <v>0.22187788027106753</v>
      </c>
      <c r="AA6" s="7">
        <f>$B6 * IFERROR(VLOOKUP("transport|PM25|Asthma symptoms cough", US_national_yearly!$D:$AM, 35, FALSE) / VLOOKUP("transport|PM25|Asthma symptoms cough", US_national_yearly!$D:$AM, 10, FALSE), 1)</f>
        <v>0.22187788027106753</v>
      </c>
      <c r="AB6" s="7">
        <f>$B6 * IFERROR(VLOOKUP("transport|PM25|Asthma symptoms cough", US_national_yearly!$D:$AM, 36, FALSE) / VLOOKUP("transport|PM25|Asthma symptoms cough", US_national_yearly!$D:$AM, 10, FALSE), 1)</f>
        <v>0.22187788027106753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0.29877643057359948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0.29877643057359948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0.29877643057359948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0.29877643057359948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0.29877643057359948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0.29877643057359948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0.29877643057359948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0.29877643057359948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0.29877643057359948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0.29877643057359948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0.29877643057359948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0.29877643057359948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0.29877643057359948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0.29877643057359948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0.29877643057359948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0.29877643057359948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0.29877643057359948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0.29877643057359948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0.29877643057359948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0.29877643057359948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0.29877643057359948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0.29877643057359948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0.29877643057359948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0.29877643057359948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0.29877643057359948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0.29877643057359948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0.29877643057359948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0.45653083519781823</v>
      </c>
      <c r="C8" s="7">
        <f>$B8 * IFERROR(VLOOKUP("transport|PM25|Asthma symptoms wheeze", US_national_yearly!$D:$AM, 11, FALSE) / VLOOKUP("transport|PM25|Asthma symptoms wheeze", US_national_yearly!$D:$AM, 10, FALSE), 1)</f>
        <v>0.45653083519781823</v>
      </c>
      <c r="D8" s="7">
        <f>$B8 * IFERROR(VLOOKUP("transport|PM25|Asthma symptoms wheeze", US_national_yearly!$D:$AM, 12, FALSE) / VLOOKUP("transport|PM25|Asthma symptoms wheeze", US_national_yearly!$D:$AM, 10, FALSE), 1)</f>
        <v>0.45653083519781823</v>
      </c>
      <c r="E8" s="7">
        <f>$B8 * IFERROR(VLOOKUP("transport|PM25|Asthma symptoms wheeze", US_national_yearly!$D:$AM, 13, FALSE) / VLOOKUP("transport|PM25|Asthma symptoms wheeze", US_national_yearly!$D:$AM, 10, FALSE), 1)</f>
        <v>0.45653083519781823</v>
      </c>
      <c r="F8" s="7">
        <f>$B8 * IFERROR(VLOOKUP("transport|PM25|Asthma symptoms wheeze", US_national_yearly!$D:$AM, 14, FALSE) / VLOOKUP("transport|PM25|Asthma symptoms wheeze", US_national_yearly!$D:$AM, 10, FALSE), 1)</f>
        <v>0.45653083519781823</v>
      </c>
      <c r="G8" s="7">
        <f>$B8 * IFERROR(VLOOKUP("transport|PM25|Asthma symptoms wheeze", US_national_yearly!$D:$AM, 15, FALSE) / VLOOKUP("transport|PM25|Asthma symptoms wheeze", US_national_yearly!$D:$AM, 10, FALSE), 1)</f>
        <v>0.45653083519781823</v>
      </c>
      <c r="H8" s="7">
        <f>$B8 * IFERROR(VLOOKUP("transport|PM25|Asthma symptoms wheeze", US_national_yearly!$D:$AM, 16, FALSE) / VLOOKUP("transport|PM25|Asthma symptoms wheeze", US_national_yearly!$D:$AM, 10, FALSE), 1)</f>
        <v>0.45653083519781823</v>
      </c>
      <c r="I8" s="7">
        <f>$B8 * IFERROR(VLOOKUP("transport|PM25|Asthma symptoms wheeze", US_national_yearly!$D:$AM, 17, FALSE) / VLOOKUP("transport|PM25|Asthma symptoms wheeze", US_national_yearly!$D:$AM, 10, FALSE), 1)</f>
        <v>0.45653083519781823</v>
      </c>
      <c r="J8" s="7">
        <f>$B8 * IFERROR(VLOOKUP("transport|PM25|Asthma symptoms wheeze", US_national_yearly!$D:$AM, 18, FALSE) / VLOOKUP("transport|PM25|Asthma symptoms wheeze", US_national_yearly!$D:$AM, 10, FALSE), 1)</f>
        <v>0.45653083519781823</v>
      </c>
      <c r="K8" s="7">
        <f>$B8 * IFERROR(VLOOKUP("transport|PM25|Asthma symptoms wheeze", US_national_yearly!$D:$AM, 19, FALSE) / VLOOKUP("transport|PM25|Asthma symptoms wheeze", US_national_yearly!$D:$AM, 10, FALSE), 1)</f>
        <v>0.45653083519781823</v>
      </c>
      <c r="L8" s="7">
        <f>$B8 * IFERROR(VLOOKUP("transport|PM25|Asthma symptoms wheeze", US_national_yearly!$D:$AM, 20, FALSE) / VLOOKUP("transport|PM25|Asthma symptoms wheeze", US_national_yearly!$D:$AM, 10, FALSE), 1)</f>
        <v>0.45653083519781823</v>
      </c>
      <c r="M8" s="7">
        <f>$B8 * IFERROR(VLOOKUP("transport|PM25|Asthma symptoms wheeze", US_national_yearly!$D:$AM, 21, FALSE) / VLOOKUP("transport|PM25|Asthma symptoms wheeze", US_national_yearly!$D:$AM, 10, FALSE), 1)</f>
        <v>0.45653083519781823</v>
      </c>
      <c r="N8" s="7">
        <f>$B8 * IFERROR(VLOOKUP("transport|PM25|Asthma symptoms wheeze", US_national_yearly!$D:$AM, 22, FALSE) / VLOOKUP("transport|PM25|Asthma symptoms wheeze", US_national_yearly!$D:$AM, 10, FALSE), 1)</f>
        <v>0.45653083519781823</v>
      </c>
      <c r="O8" s="7">
        <f>$B8 * IFERROR(VLOOKUP("transport|PM25|Asthma symptoms wheeze", US_national_yearly!$D:$AM, 23, FALSE) / VLOOKUP("transport|PM25|Asthma symptoms wheeze", US_national_yearly!$D:$AM, 10, FALSE), 1)</f>
        <v>0.45653083519781823</v>
      </c>
      <c r="P8" s="7">
        <f>$B8 * IFERROR(VLOOKUP("transport|PM25|Asthma symptoms wheeze", US_national_yearly!$D:$AM, 24, FALSE) / VLOOKUP("transport|PM25|Asthma symptoms wheeze", US_national_yearly!$D:$AM, 10, FALSE), 1)</f>
        <v>0.45653083519781823</v>
      </c>
      <c r="Q8" s="7">
        <f>$B8 * IFERROR(VLOOKUP("transport|PM25|Asthma symptoms wheeze", US_national_yearly!$D:$AM, 25, FALSE) / VLOOKUP("transport|PM25|Asthma symptoms wheeze", US_national_yearly!$D:$AM, 10, FALSE), 1)</f>
        <v>0.45653083519781823</v>
      </c>
      <c r="R8" s="7">
        <f>$B8 * IFERROR(VLOOKUP("transport|PM25|Asthma symptoms wheeze", US_national_yearly!$D:$AM, 26, FALSE) / VLOOKUP("transport|PM25|Asthma symptoms wheeze", US_national_yearly!$D:$AM, 10, FALSE), 1)</f>
        <v>0.45653083519781823</v>
      </c>
      <c r="S8" s="7">
        <f>$B8 * IFERROR(VLOOKUP("transport|PM25|Asthma symptoms wheeze", US_national_yearly!$D:$AM, 27, FALSE) / VLOOKUP("transport|PM25|Asthma symptoms wheeze", US_national_yearly!$D:$AM, 10, FALSE), 1)</f>
        <v>0.45653083519781823</v>
      </c>
      <c r="T8" s="7">
        <f>$B8 * IFERROR(VLOOKUP("transport|PM25|Asthma symptoms wheeze", US_national_yearly!$D:$AM, 28, FALSE) / VLOOKUP("transport|PM25|Asthma symptoms wheeze", US_national_yearly!$D:$AM, 10, FALSE), 1)</f>
        <v>0.45653083519781823</v>
      </c>
      <c r="U8" s="7">
        <f>$B8 * IFERROR(VLOOKUP("transport|PM25|Asthma symptoms wheeze", US_national_yearly!$D:$AM, 29, FALSE) / VLOOKUP("transport|PM25|Asthma symptoms wheeze", US_national_yearly!$D:$AM, 10, FALSE), 1)</f>
        <v>0.45653083519781823</v>
      </c>
      <c r="V8" s="7">
        <f>$B8 * IFERROR(VLOOKUP("transport|PM25|Asthma symptoms wheeze", US_national_yearly!$D:$AM, 30, FALSE) / VLOOKUP("transport|PM25|Asthma symptoms wheeze", US_national_yearly!$D:$AM, 10, FALSE), 1)</f>
        <v>0.45653083519781823</v>
      </c>
      <c r="W8" s="7">
        <f>$B8 * IFERROR(VLOOKUP("transport|PM25|Asthma symptoms wheeze", US_national_yearly!$D:$AM, 31, FALSE) / VLOOKUP("transport|PM25|Asthma symptoms wheeze", US_national_yearly!$D:$AM, 10, FALSE), 1)</f>
        <v>0.45653083519781823</v>
      </c>
      <c r="X8" s="7">
        <f>$B8 * IFERROR(VLOOKUP("transport|PM25|Asthma symptoms wheeze", US_national_yearly!$D:$AM, 32, FALSE) / VLOOKUP("transport|PM25|Asthma symptoms wheeze", US_national_yearly!$D:$AM, 10, FALSE), 1)</f>
        <v>0.45653083519781823</v>
      </c>
      <c r="Y8" s="7">
        <f>$B8 * IFERROR(VLOOKUP("transport|PM25|Asthma symptoms wheeze", US_national_yearly!$D:$AM, 33, FALSE) / VLOOKUP("transport|PM25|Asthma symptoms wheeze", US_national_yearly!$D:$AM, 10, FALSE), 1)</f>
        <v>0.45653083519781823</v>
      </c>
      <c r="Z8" s="7">
        <f>$B8 * IFERROR(VLOOKUP("transport|PM25|Asthma symptoms wheeze", US_national_yearly!$D:$AM, 34, FALSE) / VLOOKUP("transport|PM25|Asthma symptoms wheeze", US_national_yearly!$D:$AM, 10, FALSE), 1)</f>
        <v>0.45653083519781823</v>
      </c>
      <c r="AA8" s="7">
        <f>$B8 * IFERROR(VLOOKUP("transport|PM25|Asthma symptoms wheeze", US_national_yearly!$D:$AM, 35, FALSE) / VLOOKUP("transport|PM25|Asthma symptoms wheeze", US_national_yearly!$D:$AM, 10, FALSE), 1)</f>
        <v>0.45653083519781823</v>
      </c>
      <c r="AB8" s="7">
        <f>$B8 * IFERROR(VLOOKUP("transport|PM25|Asthma symptoms wheeze", US_national_yearly!$D:$AM, 36, FALSE) / VLOOKUP("transport|PM25|Asthma symptoms wheeze", US_national_yearly!$D:$AM, 10, FALSE), 1)</f>
        <v>0.45653083519781823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5.7487891553925467E-3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5.7817388977418199E-3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5.8146886400910914E-3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5.8476383824403646E-3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5.8805881247896361E-3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5.9161752520071938E-3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5.9517623792247516E-3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5.9857645272011839E-3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6.0197666751776189E-3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6.053768823154052E-3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6.0877709711304861E-3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6.1217731191069184E-3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6.1461774529544735E-3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6.1705817868020268E-3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6.1949861206495793E-3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6.2193904544971326E-3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6.2437947883446877E-3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6.2670309298746519E-3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6.2902670714046162E-3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6.3135032129345804E-3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6.3367393544645437E-3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6.3599754959945071E-3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6.3823289605505085E-3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6.4046824251065065E-3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6.4270358896625062E-3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6.449389354218505E-3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6.4717428187745047E-3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3.5600766067506243E-2</v>
      </c>
      <c r="C13" s="7">
        <f>$B13 * IFERROR(VLOOKUP("transport|PM25|Non-fatal heart attacks", US_national_yearly!$D:$AM, 11, FALSE) / VLOOKUP("transport|PM25|Non-fatal heart attacks", US_national_yearly!$D:$AM, 10, FALSE), 1)</f>
        <v>3.6635774810709294E-2</v>
      </c>
      <c r="D13" s="7">
        <f>$B13 * IFERROR(VLOOKUP("transport|PM25|Non-fatal heart attacks", US_national_yearly!$D:$AM, 12, FALSE) / VLOOKUP("transport|PM25|Non-fatal heart attacks", US_national_yearly!$D:$AM, 10, FALSE), 1)</f>
        <v>3.7670783553912346E-2</v>
      </c>
      <c r="E13" s="7">
        <f>$B13 * IFERROR(VLOOKUP("transport|PM25|Non-fatal heart attacks", US_national_yearly!$D:$AM, 13, FALSE) / VLOOKUP("transport|PM25|Non-fatal heart attacks", US_national_yearly!$D:$AM, 10, FALSE), 1)</f>
        <v>3.8705792297115384E-2</v>
      </c>
      <c r="F13" s="7">
        <f>$B13 * IFERROR(VLOOKUP("transport|PM25|Non-fatal heart attacks", US_national_yearly!$D:$AM, 14, FALSE) / VLOOKUP("transport|PM25|Non-fatal heart attacks", US_national_yearly!$D:$AM, 10, FALSE), 1)</f>
        <v>3.9740801040318442E-2</v>
      </c>
      <c r="G13" s="7">
        <f>$B13 * IFERROR(VLOOKUP("transport|PM25|Non-fatal heart attacks", US_national_yearly!$D:$AM, 15, FALSE) / VLOOKUP("transport|PM25|Non-fatal heart attacks", US_national_yearly!$D:$AM, 10, FALSE), 1)</f>
        <v>4.0716879717143127E-2</v>
      </c>
      <c r="H13" s="7">
        <f>$B13 * IFERROR(VLOOKUP("transport|PM25|Non-fatal heart attacks", US_national_yearly!$D:$AM, 16, FALSE) / VLOOKUP("transport|PM25|Non-fatal heart attacks", US_national_yearly!$D:$AM, 10, FALSE), 1)</f>
        <v>4.1692958393967805E-2</v>
      </c>
      <c r="I13" s="7">
        <f>$B13 * IFERROR(VLOOKUP("transport|PM25|Non-fatal heart attacks", US_national_yearly!$D:$AM, 17, FALSE) / VLOOKUP("transport|PM25|Non-fatal heart attacks", US_national_yearly!$D:$AM, 10, FALSE), 1)</f>
        <v>4.2477400855069278E-2</v>
      </c>
      <c r="J13" s="7">
        <f>$B13 * IFERROR(VLOOKUP("transport|PM25|Non-fatal heart attacks", US_national_yearly!$D:$AM, 18, FALSE) / VLOOKUP("transport|PM25|Non-fatal heart attacks", US_national_yearly!$D:$AM, 10, FALSE), 1)</f>
        <v>4.3261843316170757E-2</v>
      </c>
      <c r="K13" s="7">
        <f>$B13 * IFERROR(VLOOKUP("transport|PM25|Non-fatal heart attacks", US_national_yearly!$D:$AM, 19, FALSE) / VLOOKUP("transport|PM25|Non-fatal heart attacks", US_national_yearly!$D:$AM, 10, FALSE), 1)</f>
        <v>4.4046285777272244E-2</v>
      </c>
      <c r="L13" s="7">
        <f>$B13 * IFERROR(VLOOKUP("transport|PM25|Non-fatal heart attacks", US_national_yearly!$D:$AM, 20, FALSE) / VLOOKUP("transport|PM25|Non-fatal heart attacks", US_national_yearly!$D:$AM, 10, FALSE), 1)</f>
        <v>4.4830728238373724E-2</v>
      </c>
      <c r="M13" s="7">
        <f>$B13 * IFERROR(VLOOKUP("transport|PM25|Non-fatal heart attacks", US_national_yearly!$D:$AM, 21, FALSE) / VLOOKUP("transport|PM25|Non-fatal heart attacks", US_national_yearly!$D:$AM, 10, FALSE), 1)</f>
        <v>4.5615170699475203E-2</v>
      </c>
      <c r="N13" s="7">
        <f>$B13 * IFERROR(VLOOKUP("transport|PM25|Non-fatal heart attacks", US_national_yearly!$D:$AM, 22, FALSE) / VLOOKUP("transport|PM25|Non-fatal heart attacks", US_national_yearly!$D:$AM, 10, FALSE), 1)</f>
        <v>4.6121058626738556E-2</v>
      </c>
      <c r="O13" s="7">
        <f>$B13 * IFERROR(VLOOKUP("transport|PM25|Non-fatal heart attacks", US_national_yearly!$D:$AM, 23, FALSE) / VLOOKUP("transport|PM25|Non-fatal heart attacks", US_national_yearly!$D:$AM, 10, FALSE), 1)</f>
        <v>4.6626946554001923E-2</v>
      </c>
      <c r="P13" s="7">
        <f>$B13 * IFERROR(VLOOKUP("transport|PM25|Non-fatal heart attacks", US_national_yearly!$D:$AM, 24, FALSE) / VLOOKUP("transport|PM25|Non-fatal heart attacks", US_national_yearly!$D:$AM, 10, FALSE), 1)</f>
        <v>4.7132834481265283E-2</v>
      </c>
      <c r="Q13" s="7">
        <f>$B13 * IFERROR(VLOOKUP("transport|PM25|Non-fatal heart attacks", US_national_yearly!$D:$AM, 25, FALSE) / VLOOKUP("transport|PM25|Non-fatal heart attacks", US_national_yearly!$D:$AM, 10, FALSE), 1)</f>
        <v>4.7638722408528636E-2</v>
      </c>
      <c r="R13" s="7">
        <f>$B13 * IFERROR(VLOOKUP("transport|PM25|Non-fatal heart attacks", US_national_yearly!$D:$AM, 26, FALSE) / VLOOKUP("transport|PM25|Non-fatal heart attacks", US_national_yearly!$D:$AM, 10, FALSE), 1)</f>
        <v>4.8144610335791996E-2</v>
      </c>
      <c r="S13" s="7">
        <f>$B13 * IFERROR(VLOOKUP("transport|PM25|Non-fatal heart attacks", US_national_yearly!$D:$AM, 27, FALSE) / VLOOKUP("transport|PM25|Non-fatal heart attacks", US_national_yearly!$D:$AM, 10, FALSE), 1)</f>
        <v>4.841102537139666E-2</v>
      </c>
      <c r="T13" s="7">
        <f>$B13 * IFERROR(VLOOKUP("transport|PM25|Non-fatal heart attacks", US_national_yearly!$D:$AM, 28, FALSE) / VLOOKUP("transport|PM25|Non-fatal heart attacks", US_national_yearly!$D:$AM, 10, FALSE), 1)</f>
        <v>4.8677440407001338E-2</v>
      </c>
      <c r="U13" s="7">
        <f>$B13 * IFERROR(VLOOKUP("transport|PM25|Non-fatal heart attacks", US_national_yearly!$D:$AM, 29, FALSE) / VLOOKUP("transport|PM25|Non-fatal heart attacks", US_national_yearly!$D:$AM, 10, FALSE), 1)</f>
        <v>4.8943855442606016E-2</v>
      </c>
      <c r="V13" s="7">
        <f>$B13 * IFERROR(VLOOKUP("transport|PM25|Non-fatal heart attacks", US_national_yearly!$D:$AM, 30, FALSE) / VLOOKUP("transport|PM25|Non-fatal heart attacks", US_national_yearly!$D:$AM, 10, FALSE), 1)</f>
        <v>4.9210270478210687E-2</v>
      </c>
      <c r="W13" s="7">
        <f>$B13 * IFERROR(VLOOKUP("transport|PM25|Non-fatal heart attacks", US_national_yearly!$D:$AM, 31, FALSE) / VLOOKUP("transport|PM25|Non-fatal heart attacks", US_national_yearly!$D:$AM, 10, FALSE), 1)</f>
        <v>4.9476685513815351E-2</v>
      </c>
      <c r="X13" s="7">
        <f>$B13 * IFERROR(VLOOKUP("transport|PM25|Non-fatal heart attacks", US_national_yearly!$D:$AM, 32, FALSE) / VLOOKUP("transport|PM25|Non-fatal heart attacks", US_national_yearly!$D:$AM, 10, FALSE), 1)</f>
        <v>4.9678933048661722E-2</v>
      </c>
      <c r="Y13" s="7">
        <f>$B13 * IFERROR(VLOOKUP("transport|PM25|Non-fatal heart attacks", US_national_yearly!$D:$AM, 33, FALSE) / VLOOKUP("transport|PM25|Non-fatal heart attacks", US_national_yearly!$D:$AM, 10, FALSE), 1)</f>
        <v>4.9881180583508107E-2</v>
      </c>
      <c r="Z13" s="7">
        <f>$B13 * IFERROR(VLOOKUP("transport|PM25|Non-fatal heart attacks", US_national_yearly!$D:$AM, 34, FALSE) / VLOOKUP("transport|PM25|Non-fatal heart attacks", US_national_yearly!$D:$AM, 10, FALSE), 1)</f>
        <v>5.0083428118354478E-2</v>
      </c>
      <c r="AA13" s="7">
        <f>$B13 * IFERROR(VLOOKUP("transport|PM25|Non-fatal heart attacks", US_national_yearly!$D:$AM, 35, FALSE) / VLOOKUP("transport|PM25|Non-fatal heart attacks", US_national_yearly!$D:$AM, 10, FALSE), 1)</f>
        <v>5.0285675653200856E-2</v>
      </c>
      <c r="AB13" s="7">
        <f>$B13 * IFERROR(VLOOKUP("transport|PM25|Non-fatal heart attacks", US_national_yearly!$D:$AM, 36, FALSE) / VLOOKUP("transport|PM25|Non-fatal heart attacks", US_national_yearly!$D:$AM, 10, FALSE), 1)</f>
        <v>5.0487923188047228E-2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30.561752580654503</v>
      </c>
      <c r="C14" s="7">
        <f>$B14 * IFERROR(VLOOKUP("transport|PM25|Minor restricted activity days", US_national_yearly!$D:$AM, 11, FALSE) / VLOOKUP("transport|PM25|Minor restricted activity days", US_national_yearly!$D:$AM, 10, FALSE), 1)</f>
        <v>30.636388004801709</v>
      </c>
      <c r="D14" s="7">
        <f>$B14 * IFERROR(VLOOKUP("transport|PM25|Minor restricted activity days", US_national_yearly!$D:$AM, 12, FALSE) / VLOOKUP("transport|PM25|Minor restricted activity days", US_national_yearly!$D:$AM, 10, FALSE), 1)</f>
        <v>30.71102342894892</v>
      </c>
      <c r="E14" s="7">
        <f>$B14 * IFERROR(VLOOKUP("transport|PM25|Minor restricted activity days", US_national_yearly!$D:$AM, 13, FALSE) / VLOOKUP("transport|PM25|Minor restricted activity days", US_national_yearly!$D:$AM, 10, FALSE), 1)</f>
        <v>30.785658853096134</v>
      </c>
      <c r="F14" s="7">
        <f>$B14 * IFERROR(VLOOKUP("transport|PM25|Minor restricted activity days", US_national_yearly!$D:$AM, 14, FALSE) / VLOOKUP("transport|PM25|Minor restricted activity days", US_national_yearly!$D:$AM, 10, FALSE), 1)</f>
        <v>30.860294277243337</v>
      </c>
      <c r="G14" s="7">
        <f>$B14 * IFERROR(VLOOKUP("transport|PM25|Minor restricted activity days", US_national_yearly!$D:$AM, 15, FALSE) / VLOOKUP("transport|PM25|Minor restricted activity days", US_national_yearly!$D:$AM, 10, FALSE), 1)</f>
        <v>30.97041661192786</v>
      </c>
      <c r="H14" s="7">
        <f>$B14 * IFERROR(VLOOKUP("transport|PM25|Minor restricted activity days", US_national_yearly!$D:$AM, 16, FALSE) / VLOOKUP("transport|PM25|Minor restricted activity days", US_national_yearly!$D:$AM, 10, FALSE), 1)</f>
        <v>31.080538946612386</v>
      </c>
      <c r="I14" s="7">
        <f>$B14 * IFERROR(VLOOKUP("transport|PM25|Minor restricted activity days", US_national_yearly!$D:$AM, 17, FALSE) / VLOOKUP("transport|PM25|Minor restricted activity days", US_national_yearly!$D:$AM, 10, FALSE), 1)</f>
        <v>31.268797710693683</v>
      </c>
      <c r="J14" s="7">
        <f>$B14 * IFERROR(VLOOKUP("transport|PM25|Minor restricted activity days", US_national_yearly!$D:$AM, 18, FALSE) / VLOOKUP("transport|PM25|Minor restricted activity days", US_national_yearly!$D:$AM, 10, FALSE), 1)</f>
        <v>31.457056474774969</v>
      </c>
      <c r="K14" s="7">
        <f>$B14 * IFERROR(VLOOKUP("transport|PM25|Minor restricted activity days", US_national_yearly!$D:$AM, 19, FALSE) / VLOOKUP("transport|PM25|Minor restricted activity days", US_national_yearly!$D:$AM, 10, FALSE), 1)</f>
        <v>31.64531523885627</v>
      </c>
      <c r="L14" s="7">
        <f>$B14 * IFERROR(VLOOKUP("transport|PM25|Minor restricted activity days", US_national_yearly!$D:$AM, 20, FALSE) / VLOOKUP("transport|PM25|Minor restricted activity days", US_national_yearly!$D:$AM, 10, FALSE), 1)</f>
        <v>31.833574002937564</v>
      </c>
      <c r="M14" s="7">
        <f>$B14 * IFERROR(VLOOKUP("transport|PM25|Minor restricted activity days", US_national_yearly!$D:$AM, 21, FALSE) / VLOOKUP("transport|PM25|Minor restricted activity days", US_national_yearly!$D:$AM, 10, FALSE), 1)</f>
        <v>32.021832767018857</v>
      </c>
      <c r="N14" s="7">
        <f>$B14 * IFERROR(VLOOKUP("transport|PM25|Minor restricted activity days", US_national_yearly!$D:$AM, 22, FALSE) / VLOOKUP("transport|PM25|Minor restricted activity days", US_national_yearly!$D:$AM, 10, FALSE), 1)</f>
        <v>32.278278685950852</v>
      </c>
      <c r="O14" s="7">
        <f>$B14 * IFERROR(VLOOKUP("transport|PM25|Minor restricted activity days", US_national_yearly!$D:$AM, 23, FALSE) / VLOOKUP("transport|PM25|Minor restricted activity days", US_national_yearly!$D:$AM, 10, FALSE), 1)</f>
        <v>32.534724604882832</v>
      </c>
      <c r="P14" s="7">
        <f>$B14 * IFERROR(VLOOKUP("transport|PM25|Minor restricted activity days", US_national_yearly!$D:$AM, 24, FALSE) / VLOOKUP("transport|PM25|Minor restricted activity days", US_national_yearly!$D:$AM, 10, FALSE), 1)</f>
        <v>32.791170523814827</v>
      </c>
      <c r="Q14" s="7">
        <f>$B14 * IFERROR(VLOOKUP("transport|PM25|Minor restricted activity days", US_national_yearly!$D:$AM, 25, FALSE) / VLOOKUP("transport|PM25|Minor restricted activity days", US_national_yearly!$D:$AM, 10, FALSE), 1)</f>
        <v>33.047616442746815</v>
      </c>
      <c r="R14" s="7">
        <f>$B14 * IFERROR(VLOOKUP("transport|PM25|Minor restricted activity days", US_national_yearly!$D:$AM, 26, FALSE) / VLOOKUP("transport|PM25|Minor restricted activity days", US_national_yearly!$D:$AM, 10, FALSE), 1)</f>
        <v>33.304062361678795</v>
      </c>
      <c r="S14" s="7">
        <f>$B14 * IFERROR(VLOOKUP("transport|PM25|Minor restricted activity days", US_national_yearly!$D:$AM, 27, FALSE) / VLOOKUP("transport|PM25|Minor restricted activity days", US_national_yearly!$D:$AM, 10, FALSE), 1)</f>
        <v>33.562274339622427</v>
      </c>
      <c r="T14" s="7">
        <f>$B14 * IFERROR(VLOOKUP("transport|PM25|Minor restricted activity days", US_national_yearly!$D:$AM, 28, FALSE) / VLOOKUP("transport|PM25|Minor restricted activity days", US_national_yearly!$D:$AM, 10, FALSE), 1)</f>
        <v>33.820486317566058</v>
      </c>
      <c r="U14" s="7">
        <f>$B14 * IFERROR(VLOOKUP("transport|PM25|Minor restricted activity days", US_national_yearly!$D:$AM, 29, FALSE) / VLOOKUP("transport|PM25|Minor restricted activity days", US_national_yearly!$D:$AM, 10, FALSE), 1)</f>
        <v>34.078698295509689</v>
      </c>
      <c r="V14" s="7">
        <f>$B14 * IFERROR(VLOOKUP("transport|PM25|Minor restricted activity days", US_national_yearly!$D:$AM, 30, FALSE) / VLOOKUP("transport|PM25|Minor restricted activity days", US_national_yearly!$D:$AM, 10, FALSE), 1)</f>
        <v>34.33691027345332</v>
      </c>
      <c r="W14" s="7">
        <f>$B14 * IFERROR(VLOOKUP("transport|PM25|Minor restricted activity days", US_national_yearly!$D:$AM, 31, FALSE) / VLOOKUP("transport|PM25|Minor restricted activity days", US_national_yearly!$D:$AM, 10, FALSE), 1)</f>
        <v>34.595122251396951</v>
      </c>
      <c r="X14" s="7">
        <f>$B14 * IFERROR(VLOOKUP("transport|PM25|Minor restricted activity days", US_national_yearly!$D:$AM, 32, FALSE) / VLOOKUP("transport|PM25|Minor restricted activity days", US_national_yearly!$D:$AM, 10, FALSE), 1)</f>
        <v>34.819276224871231</v>
      </c>
      <c r="Y14" s="7">
        <f>$B14 * IFERROR(VLOOKUP("transport|PM25|Minor restricted activity days", US_national_yearly!$D:$AM, 33, FALSE) / VLOOKUP("transport|PM25|Minor restricted activity days", US_national_yearly!$D:$AM, 10, FALSE), 1)</f>
        <v>35.043430198345519</v>
      </c>
      <c r="Z14" s="7">
        <f>$B14 * IFERROR(VLOOKUP("transport|PM25|Minor restricted activity days", US_national_yearly!$D:$AM, 34, FALSE) / VLOOKUP("transport|PM25|Minor restricted activity days", US_national_yearly!$D:$AM, 10, FALSE), 1)</f>
        <v>35.267584171819806</v>
      </c>
      <c r="AA14" s="7">
        <f>$B14 * IFERROR(VLOOKUP("transport|PM25|Minor restricted activity days", US_national_yearly!$D:$AM, 35, FALSE) / VLOOKUP("transport|PM25|Minor restricted activity days", US_national_yearly!$D:$AM, 10, FALSE), 1)</f>
        <v>35.491738145294086</v>
      </c>
      <c r="AB14" s="7">
        <f>$B14 * IFERROR(VLOOKUP("transport|PM25|Minor restricted activity days", US_national_yearly!$D:$AM, 36, FALSE) / VLOOKUP("transport|PM25|Minor restricted activity days", US_national_yearly!$D:$AM, 10, FALSE), 1)</f>
        <v>35.715892118768373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5.2236179723593779</v>
      </c>
      <c r="C15" s="7">
        <f>$B15 * IFERROR(VLOOKUP("transport|PM25|Work loss days", US_national_yearly!$D:$AM, 11, FALSE) / VLOOKUP("transport|PM25|Work loss days", US_national_yearly!$D:$AM, 10, FALSE), 1)</f>
        <v>5.2398093066790521</v>
      </c>
      <c r="D15" s="7">
        <f>$B15 * IFERROR(VLOOKUP("transport|PM25|Work loss days", US_national_yearly!$D:$AM, 12, FALSE) / VLOOKUP("transport|PM25|Work loss days", US_national_yearly!$D:$AM, 10, FALSE), 1)</f>
        <v>5.2560006409987281</v>
      </c>
      <c r="E15" s="7">
        <f>$B15 * IFERROR(VLOOKUP("transport|PM25|Work loss days", US_national_yearly!$D:$AM, 13, FALSE) / VLOOKUP("transport|PM25|Work loss days", US_national_yearly!$D:$AM, 10, FALSE), 1)</f>
        <v>5.2721919753184023</v>
      </c>
      <c r="F15" s="7">
        <f>$B15 * IFERROR(VLOOKUP("transport|PM25|Work loss days", US_national_yearly!$D:$AM, 14, FALSE) / VLOOKUP("transport|PM25|Work loss days", US_national_yearly!$D:$AM, 10, FALSE), 1)</f>
        <v>5.2883833096380775</v>
      </c>
      <c r="G15" s="7">
        <f>$B15 * IFERROR(VLOOKUP("transport|PM25|Work loss days", US_national_yearly!$D:$AM, 15, FALSE) / VLOOKUP("transport|PM25|Work loss days", US_national_yearly!$D:$AM, 10, FALSE), 1)</f>
        <v>5.3096111821157432</v>
      </c>
      <c r="H15" s="7">
        <f>$B15 * IFERROR(VLOOKUP("transport|PM25|Work loss days", US_national_yearly!$D:$AM, 16, FALSE) / VLOOKUP("transport|PM25|Work loss days", US_national_yearly!$D:$AM, 10, FALSE), 1)</f>
        <v>5.3308390545934099</v>
      </c>
      <c r="I15" s="7">
        <f>$B15 * IFERROR(VLOOKUP("transport|PM25|Work loss days", US_national_yearly!$D:$AM, 17, FALSE) / VLOOKUP("transport|PM25|Work loss days", US_national_yearly!$D:$AM, 10, FALSE), 1)</f>
        <v>5.3620994315623713</v>
      </c>
      <c r="J15" s="7">
        <f>$B15 * IFERROR(VLOOKUP("transport|PM25|Work loss days", US_national_yearly!$D:$AM, 18, FALSE) / VLOOKUP("transport|PM25|Work loss days", US_national_yearly!$D:$AM, 10, FALSE), 1)</f>
        <v>5.3933598085313337</v>
      </c>
      <c r="K15" s="7">
        <f>$B15 * IFERROR(VLOOKUP("transport|PM25|Work loss days", US_national_yearly!$D:$AM, 19, FALSE) / VLOOKUP("transport|PM25|Work loss days", US_national_yearly!$D:$AM, 10, FALSE), 1)</f>
        <v>5.4246201855002951</v>
      </c>
      <c r="L15" s="7">
        <f>$B15 * IFERROR(VLOOKUP("transport|PM25|Work loss days", US_national_yearly!$D:$AM, 20, FALSE) / VLOOKUP("transport|PM25|Work loss days", US_national_yearly!$D:$AM, 10, FALSE), 1)</f>
        <v>5.4558805624692575</v>
      </c>
      <c r="M15" s="7">
        <f>$B15 * IFERROR(VLOOKUP("transport|PM25|Work loss days", US_national_yearly!$D:$AM, 21, FALSE) / VLOOKUP("transport|PM25|Work loss days", US_national_yearly!$D:$AM, 10, FALSE), 1)</f>
        <v>5.4871409394382198</v>
      </c>
      <c r="N15" s="7">
        <f>$B15 * IFERROR(VLOOKUP("transport|PM25|Work loss days", US_national_yearly!$D:$AM, 22, FALSE) / VLOOKUP("transport|PM25|Work loss days", US_national_yearly!$D:$AM, 10, FALSE), 1)</f>
        <v>5.5264844899141119</v>
      </c>
      <c r="O15" s="7">
        <f>$B15 * IFERROR(VLOOKUP("transport|PM25|Work loss days", US_national_yearly!$D:$AM, 23, FALSE) / VLOOKUP("transport|PM25|Work loss days", US_national_yearly!$D:$AM, 10, FALSE), 1)</f>
        <v>5.565828040390004</v>
      </c>
      <c r="P15" s="7">
        <f>$B15 * IFERROR(VLOOKUP("transport|PM25|Work loss days", US_national_yearly!$D:$AM, 24, FALSE) / VLOOKUP("transport|PM25|Work loss days", US_national_yearly!$D:$AM, 10, FALSE), 1)</f>
        <v>5.605171590865897</v>
      </c>
      <c r="Q15" s="7">
        <f>$B15 * IFERROR(VLOOKUP("transport|PM25|Work loss days", US_national_yearly!$D:$AM, 25, FALSE) / VLOOKUP("transport|PM25|Work loss days", US_national_yearly!$D:$AM, 10, FALSE), 1)</f>
        <v>5.6445151413417882</v>
      </c>
      <c r="R15" s="7">
        <f>$B15 * IFERROR(VLOOKUP("transport|PM25|Work loss days", US_national_yearly!$D:$AM, 26, FALSE) / VLOOKUP("transport|PM25|Work loss days", US_national_yearly!$D:$AM, 10, FALSE), 1)</f>
        <v>5.6838586918176812</v>
      </c>
      <c r="S15" s="7">
        <f>$B15 * IFERROR(VLOOKUP("transport|PM25|Work loss days", US_national_yearly!$D:$AM, 27, FALSE) / VLOOKUP("transport|PM25|Work loss days", US_national_yearly!$D:$AM, 10, FALSE), 1)</f>
        <v>5.7273743383560447</v>
      </c>
      <c r="T15" s="7">
        <f>$B15 * IFERROR(VLOOKUP("transport|PM25|Work loss days", US_national_yearly!$D:$AM, 28, FALSE) / VLOOKUP("transport|PM25|Work loss days", US_national_yearly!$D:$AM, 10, FALSE), 1)</f>
        <v>5.77088998489441</v>
      </c>
      <c r="U15" s="7">
        <f>$B15 * IFERROR(VLOOKUP("transport|PM25|Work loss days", US_national_yearly!$D:$AM, 29, FALSE) / VLOOKUP("transport|PM25|Work loss days", US_national_yearly!$D:$AM, 10, FALSE), 1)</f>
        <v>5.8144056314327726</v>
      </c>
      <c r="V15" s="7">
        <f>$B15 * IFERROR(VLOOKUP("transport|PM25|Work loss days", US_national_yearly!$D:$AM, 30, FALSE) / VLOOKUP("transport|PM25|Work loss days", US_national_yearly!$D:$AM, 10, FALSE), 1)</f>
        <v>5.8579212779711369</v>
      </c>
      <c r="W15" s="7">
        <f>$B15 * IFERROR(VLOOKUP("transport|PM25|Work loss days", US_national_yearly!$D:$AM, 31, FALSE) / VLOOKUP("transport|PM25|Work loss days", US_national_yearly!$D:$AM, 10, FALSE), 1)</f>
        <v>5.9014369245095004</v>
      </c>
      <c r="X15" s="7">
        <f>$B15 * IFERROR(VLOOKUP("transport|PM25|Work loss days", US_national_yearly!$D:$AM, 32, FALSE) / VLOOKUP("transport|PM25|Work loss days", US_national_yearly!$D:$AM, 10, FALSE), 1)</f>
        <v>5.9400470393165312</v>
      </c>
      <c r="Y15" s="7">
        <f>$B15 * IFERROR(VLOOKUP("transport|PM25|Work loss days", US_national_yearly!$D:$AM, 33, FALSE) / VLOOKUP("transport|PM25|Work loss days", US_national_yearly!$D:$AM, 10, FALSE), 1)</f>
        <v>5.978657154123562</v>
      </c>
      <c r="Z15" s="7">
        <f>$B15 * IFERROR(VLOOKUP("transport|PM25|Work loss days", US_national_yearly!$D:$AM, 34, FALSE) / VLOOKUP("transport|PM25|Work loss days", US_national_yearly!$D:$AM, 10, FALSE), 1)</f>
        <v>6.0172672689305937</v>
      </c>
      <c r="AA15" s="7">
        <f>$B15 * IFERROR(VLOOKUP("transport|PM25|Work loss days", US_national_yearly!$D:$AM, 35, FALSE) / VLOOKUP("transport|PM25|Work loss days", US_national_yearly!$D:$AM, 10, FALSE), 1)</f>
        <v>6.0558773837376254</v>
      </c>
      <c r="AB15" s="7">
        <f>$B15 * IFERROR(VLOOKUP("transport|PM25|Work loss days", US_national_yearly!$D:$AM, 36, FALSE) / VLOOKUP("transport|PM25|Work loss days", US_national_yearly!$D:$AM, 10, FALSE), 1)</f>
        <v>6.0944874985446553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8.6837855597950049E-3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8.9432631276717255E-3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9.2027406955484479E-3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9.462218263425172E-3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9.7216958313018943E-3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9.9702289916930135E-3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1.0218762152084135E-2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1.0431321355868115E-2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1.0643880559652092E-2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1.0856439763436069E-2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1.1068998967220049E-2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1.1281558171004026E-2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1.1423276245176795E-2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1.1564994319349566E-2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1.1706712393522336E-2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1.1848430467695107E-2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1.1990148541867876E-2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1.2065130634056136E-2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1.2140112726244396E-2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1.2215094818432653E-2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1.2290076910620912E-2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1.2365059002809171E-2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1.2415537933582507E-2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1.2466016864355844E-2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1.251649579512918E-2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1.2566974725902517E-2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1.2617453656675853E-2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1.9603403250513288E-3</v>
      </c>
      <c r="C2" s="7">
        <f>$B2 * IFERROR(VLOOKUP("transport|NOx|Premature mortality", US_national_yearly!$D:$AM, 11, FALSE) / VLOOKUP("transport|NOx|Premature mortality", US_national_yearly!$D:$AM, 10, FALSE), 1)</f>
        <v>1.9891344109546827E-3</v>
      </c>
      <c r="D2" s="7">
        <f>$B2 * IFERROR(VLOOKUP("transport|NOx|Premature mortality", US_national_yearly!$D:$AM, 12, FALSE) / VLOOKUP("transport|NOx|Premature mortality", US_national_yearly!$D:$AM, 10, FALSE), 1)</f>
        <v>2.017928496858036E-3</v>
      </c>
      <c r="E2" s="7">
        <f>$B2 * IFERROR(VLOOKUP("transport|NOx|Premature mortality", US_national_yearly!$D:$AM, 13, FALSE) / VLOOKUP("transport|NOx|Premature mortality", US_national_yearly!$D:$AM, 10, FALSE), 1)</f>
        <v>2.0467225827613899E-3</v>
      </c>
      <c r="F2" s="7">
        <f>$B2 * IFERROR(VLOOKUP("transport|NOx|Premature mortality", US_national_yearly!$D:$AM, 14, FALSE) / VLOOKUP("transport|NOx|Premature mortality", US_national_yearly!$D:$AM, 10, FALSE), 1)</f>
        <v>2.0755166686647437E-3</v>
      </c>
      <c r="G2" s="7">
        <f>$B2 * IFERROR(VLOOKUP("transport|NOx|Premature mortality", US_national_yearly!$D:$AM, 15, FALSE) / VLOOKUP("transport|NOx|Premature mortality", US_national_yearly!$D:$AM, 10, FALSE), 1)</f>
        <v>2.1272376545660157E-3</v>
      </c>
      <c r="H2" s="7">
        <f>$B2 * IFERROR(VLOOKUP("transport|NOx|Premature mortality", US_national_yearly!$D:$AM, 16, FALSE) / VLOOKUP("transport|NOx|Premature mortality", US_national_yearly!$D:$AM, 10, FALSE), 1)</f>
        <v>2.1789586404672885E-3</v>
      </c>
      <c r="I2" s="7">
        <f>$B2 * IFERROR(VLOOKUP("transport|NOx|Premature mortality", US_national_yearly!$D:$AM, 17, FALSE) / VLOOKUP("transport|NOx|Premature mortality", US_national_yearly!$D:$AM, 10, FALSE), 1)</f>
        <v>2.2123455179430631E-3</v>
      </c>
      <c r="J2" s="7">
        <f>$B2 * IFERROR(VLOOKUP("transport|NOx|Premature mortality", US_national_yearly!$D:$AM, 18, FALSE) / VLOOKUP("transport|NOx|Premature mortality", US_national_yearly!$D:$AM, 10, FALSE), 1)</f>
        <v>2.2457323954188377E-3</v>
      </c>
      <c r="K2" s="7">
        <f>$B2 * IFERROR(VLOOKUP("transport|NOx|Premature mortality", US_national_yearly!$D:$AM, 19, FALSE) / VLOOKUP("transport|NOx|Premature mortality", US_national_yearly!$D:$AM, 10, FALSE), 1)</f>
        <v>2.2791192728946123E-3</v>
      </c>
      <c r="L2" s="7">
        <f>$B2 * IFERROR(VLOOKUP("transport|NOx|Premature mortality", US_national_yearly!$D:$AM, 20, FALSE) / VLOOKUP("transport|NOx|Premature mortality", US_national_yearly!$D:$AM, 10, FALSE), 1)</f>
        <v>2.3125061503703869E-3</v>
      </c>
      <c r="M2" s="7">
        <f>$B2 * IFERROR(VLOOKUP("transport|NOx|Premature mortality", US_national_yearly!$D:$AM, 21, FALSE) / VLOOKUP("transport|NOx|Premature mortality", US_national_yearly!$D:$AM, 10, FALSE), 1)</f>
        <v>2.3458930278461615E-3</v>
      </c>
      <c r="N2" s="7">
        <f>$B2 * IFERROR(VLOOKUP("transport|NOx|Premature mortality", US_national_yearly!$D:$AM, 22, FALSE) / VLOOKUP("transport|NOx|Premature mortality", US_national_yearly!$D:$AM, 10, FALSE), 1)</f>
        <v>2.3706258968872701E-3</v>
      </c>
      <c r="O2" s="7">
        <f>$B2 * IFERROR(VLOOKUP("transport|NOx|Premature mortality", US_national_yearly!$D:$AM, 23, FALSE) / VLOOKUP("transport|NOx|Premature mortality", US_national_yearly!$D:$AM, 10, FALSE), 1)</f>
        <v>2.3953587659283787E-3</v>
      </c>
      <c r="P2" s="7">
        <f>$B2 * IFERROR(VLOOKUP("transport|NOx|Premature mortality", US_national_yearly!$D:$AM, 24, FALSE) / VLOOKUP("transport|NOx|Premature mortality", US_national_yearly!$D:$AM, 10, FALSE), 1)</f>
        <v>2.4200916349694872E-3</v>
      </c>
      <c r="Q2" s="7">
        <f>$B2 * IFERROR(VLOOKUP("transport|NOx|Premature mortality", US_national_yearly!$D:$AM, 25, FALSE) / VLOOKUP("transport|NOx|Premature mortality", US_national_yearly!$D:$AM, 10, FALSE), 1)</f>
        <v>2.4448245040105962E-3</v>
      </c>
      <c r="R2" s="7">
        <f>$B2 * IFERROR(VLOOKUP("transport|NOx|Premature mortality", US_national_yearly!$D:$AM, 26, FALSE) / VLOOKUP("transport|NOx|Premature mortality", US_national_yearly!$D:$AM, 10, FALSE), 1)</f>
        <v>2.4695573730517048E-3</v>
      </c>
      <c r="S2" s="7">
        <f>$B2 * IFERROR(VLOOKUP("transport|NOx|Premature mortality", US_national_yearly!$D:$AM, 27, FALSE) / VLOOKUP("transport|NOx|Premature mortality", US_national_yearly!$D:$AM, 10, FALSE), 1)</f>
        <v>2.4807987110875701E-3</v>
      </c>
      <c r="T2" s="7">
        <f>$B2 * IFERROR(VLOOKUP("transport|NOx|Premature mortality", US_national_yearly!$D:$AM, 28, FALSE) / VLOOKUP("transport|NOx|Premature mortality", US_national_yearly!$D:$AM, 10, FALSE), 1)</f>
        <v>2.4920400491234363E-3</v>
      </c>
      <c r="U2" s="7">
        <f>$B2 * IFERROR(VLOOKUP("transport|NOx|Premature mortality", US_national_yearly!$D:$AM, 29, FALSE) / VLOOKUP("transport|NOx|Premature mortality", US_national_yearly!$D:$AM, 10, FALSE), 1)</f>
        <v>2.5032813871593016E-3</v>
      </c>
      <c r="V2" s="7">
        <f>$B2 * IFERROR(VLOOKUP("transport|NOx|Premature mortality", US_national_yearly!$D:$AM, 30, FALSE) / VLOOKUP("transport|NOx|Premature mortality", US_national_yearly!$D:$AM, 10, FALSE), 1)</f>
        <v>2.5145227251951669E-3</v>
      </c>
      <c r="W2" s="7">
        <f>$B2 * IFERROR(VLOOKUP("transport|NOx|Premature mortality", US_national_yearly!$D:$AM, 31, FALSE) / VLOOKUP("transport|NOx|Premature mortality", US_national_yearly!$D:$AM, 10, FALSE), 1)</f>
        <v>2.5257640632310326E-3</v>
      </c>
      <c r="X2" s="7">
        <f>$B2 * IFERROR(VLOOKUP("transport|NOx|Premature mortality", US_national_yearly!$D:$AM, 32, FALSE) / VLOOKUP("transport|NOx|Premature mortality", US_national_yearly!$D:$AM, 10, FALSE), 1)</f>
        <v>2.5261534567280154E-3</v>
      </c>
      <c r="Y2" s="7">
        <f>$B2 * IFERROR(VLOOKUP("transport|NOx|Premature mortality", US_national_yearly!$D:$AM, 33, FALSE) / VLOOKUP("transport|NOx|Premature mortality", US_national_yearly!$D:$AM, 10, FALSE), 1)</f>
        <v>2.5265428502249982E-3</v>
      </c>
      <c r="Z2" s="7">
        <f>$B2 * IFERROR(VLOOKUP("transport|NOx|Premature mortality", US_national_yearly!$D:$AM, 34, FALSE) / VLOOKUP("transport|NOx|Premature mortality", US_national_yearly!$D:$AM, 10, FALSE), 1)</f>
        <v>2.5269322437219805E-3</v>
      </c>
      <c r="AA2" s="7">
        <f>$B2 * IFERROR(VLOOKUP("transport|NOx|Premature mortality", US_national_yearly!$D:$AM, 35, FALSE) / VLOOKUP("transport|NOx|Premature mortality", US_national_yearly!$D:$AM, 10, FALSE), 1)</f>
        <v>2.5273216372189637E-3</v>
      </c>
      <c r="AB2" s="7">
        <f>$B2 * IFERROR(VLOOKUP("transport|NOx|Premature mortality", US_national_yearly!$D:$AM, 36, FALSE) / VLOOKUP("transport|NOx|Premature mortality", US_national_yearly!$D:$AM, 10, FALSE), 1)</f>
        <v>2.5277110307159465E-3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4.0757267872709113E-6</v>
      </c>
      <c r="C3" s="7">
        <f>$B3 * IFERROR(VLOOKUP("transport|NOx|Infant mortality", US_national_yearly!$D:$AM, 11, FALSE) / VLOOKUP("transport|NOx|Infant mortality", US_national_yearly!$D:$AM, 10, FALSE), 1)</f>
        <v>4.0368951040079844E-6</v>
      </c>
      <c r="D3" s="7">
        <f>$B3 * IFERROR(VLOOKUP("transport|NOx|Infant mortality", US_national_yearly!$D:$AM, 12, FALSE) / VLOOKUP("transport|NOx|Infant mortality", US_national_yearly!$D:$AM, 10, FALSE), 1)</f>
        <v>3.9980634207450567E-6</v>
      </c>
      <c r="E3" s="7">
        <f>$B3 * IFERROR(VLOOKUP("transport|NOx|Infant mortality", US_national_yearly!$D:$AM, 13, FALSE) / VLOOKUP("transport|NOx|Infant mortality", US_national_yearly!$D:$AM, 10, FALSE), 1)</f>
        <v>3.959231737482129E-6</v>
      </c>
      <c r="F3" s="7">
        <f>$B3 * IFERROR(VLOOKUP("transport|NOx|Infant mortality", US_national_yearly!$D:$AM, 14, FALSE) / VLOOKUP("transport|NOx|Infant mortality", US_national_yearly!$D:$AM, 10, FALSE), 1)</f>
        <v>3.9204000542192021E-6</v>
      </c>
      <c r="G3" s="7">
        <f>$B3 * IFERROR(VLOOKUP("transport|NOx|Infant mortality", US_national_yearly!$D:$AM, 15, FALSE) / VLOOKUP("transport|NOx|Infant mortality", US_national_yearly!$D:$AM, 10, FALSE), 1)</f>
        <v>2.6025551491977412E-6</v>
      </c>
      <c r="H3" s="7">
        <f>$B3 * IFERROR(VLOOKUP("transport|NOx|Infant mortality", US_national_yearly!$D:$AM, 16, FALSE) / VLOOKUP("transport|NOx|Infant mortality", US_national_yearly!$D:$AM, 10, FALSE), 1)</f>
        <v>1.284710244176281E-6</v>
      </c>
      <c r="I3" s="7">
        <f>$B3 * IFERROR(VLOOKUP("transport|NOx|Infant mortality", US_national_yearly!$D:$AM, 17, FALSE) / VLOOKUP("transport|NOx|Infant mortality", US_national_yearly!$D:$AM, 10, FALSE), 1)</f>
        <v>1.275626116103615E-6</v>
      </c>
      <c r="J3" s="7">
        <f>$B3 * IFERROR(VLOOKUP("transport|NOx|Infant mortality", US_national_yearly!$D:$AM, 18, FALSE) / VLOOKUP("transport|NOx|Infant mortality", US_national_yearly!$D:$AM, 10, FALSE), 1)</f>
        <v>1.2665419880309488E-6</v>
      </c>
      <c r="K3" s="7">
        <f>$B3 * IFERROR(VLOOKUP("transport|NOx|Infant mortality", US_national_yearly!$D:$AM, 19, FALSE) / VLOOKUP("transport|NOx|Infant mortality", US_national_yearly!$D:$AM, 10, FALSE), 1)</f>
        <v>1.2574578599582828E-6</v>
      </c>
      <c r="L3" s="7">
        <f>$B3 * IFERROR(VLOOKUP("transport|NOx|Infant mortality", US_national_yearly!$D:$AM, 20, FALSE) / VLOOKUP("transport|NOx|Infant mortality", US_national_yearly!$D:$AM, 10, FALSE), 1)</f>
        <v>1.2483737318856169E-6</v>
      </c>
      <c r="M3" s="7">
        <f>$B3 * IFERROR(VLOOKUP("transport|NOx|Infant mortality", US_national_yearly!$D:$AM, 21, FALSE) / VLOOKUP("transport|NOx|Infant mortality", US_national_yearly!$D:$AM, 10, FALSE), 1)</f>
        <v>1.2392896038129505E-6</v>
      </c>
      <c r="N3" s="7">
        <f>$B3 * IFERROR(VLOOKUP("transport|NOx|Infant mortality", US_national_yearly!$D:$AM, 22, FALSE) / VLOOKUP("transport|NOx|Infant mortality", US_national_yearly!$D:$AM, 10, FALSE), 1)</f>
        <v>1.2332599394282801E-6</v>
      </c>
      <c r="O3" s="7">
        <f>$B3 * IFERROR(VLOOKUP("transport|NOx|Infant mortality", US_national_yearly!$D:$AM, 23, FALSE) / VLOOKUP("transport|NOx|Infant mortality", US_national_yearly!$D:$AM, 10, FALSE), 1)</f>
        <v>1.2272302750436098E-6</v>
      </c>
      <c r="P3" s="7">
        <f>$B3 * IFERROR(VLOOKUP("transport|NOx|Infant mortality", US_national_yearly!$D:$AM, 24, FALSE) / VLOOKUP("transport|NOx|Infant mortality", US_national_yearly!$D:$AM, 10, FALSE), 1)</f>
        <v>1.2212006106589395E-6</v>
      </c>
      <c r="Q3" s="7">
        <f>$B3 * IFERROR(VLOOKUP("transport|NOx|Infant mortality", US_national_yearly!$D:$AM, 25, FALSE) / VLOOKUP("transport|NOx|Infant mortality", US_national_yearly!$D:$AM, 10, FALSE), 1)</f>
        <v>1.2151709462742691E-6</v>
      </c>
      <c r="R3" s="7">
        <f>$B3 * IFERROR(VLOOKUP("transport|NOx|Infant mortality", US_national_yearly!$D:$AM, 26, FALSE) / VLOOKUP("transport|NOx|Infant mortality", US_national_yearly!$D:$AM, 10, FALSE), 1)</f>
        <v>1.2091412818895988E-6</v>
      </c>
      <c r="S3" s="7">
        <f>$B3 * IFERROR(VLOOKUP("transport|NOx|Infant mortality", US_national_yearly!$D:$AM, 27, FALSE) / VLOOKUP("transport|NOx|Infant mortality", US_national_yearly!$D:$AM, 10, FALSE), 1)</f>
        <v>1.2018926664389267E-6</v>
      </c>
      <c r="T3" s="7">
        <f>$B3 * IFERROR(VLOOKUP("transport|NOx|Infant mortality", US_national_yearly!$D:$AM, 28, FALSE) / VLOOKUP("transport|NOx|Infant mortality", US_national_yearly!$D:$AM, 10, FALSE), 1)</f>
        <v>1.1946440509882544E-6</v>
      </c>
      <c r="U3" s="7">
        <f>$B3 * IFERROR(VLOOKUP("transport|NOx|Infant mortality", US_national_yearly!$D:$AM, 29, FALSE) / VLOOKUP("transport|NOx|Infant mortality", US_national_yearly!$D:$AM, 10, FALSE), 1)</f>
        <v>1.1873954355375823E-6</v>
      </c>
      <c r="V3" s="7">
        <f>$B3 * IFERROR(VLOOKUP("transport|NOx|Infant mortality", US_national_yearly!$D:$AM, 30, FALSE) / VLOOKUP("transport|NOx|Infant mortality", US_national_yearly!$D:$AM, 10, FALSE), 1)</f>
        <v>1.1801468200869102E-6</v>
      </c>
      <c r="W3" s="7">
        <f>$B3 * IFERROR(VLOOKUP("transport|NOx|Infant mortality", US_national_yearly!$D:$AM, 31, FALSE) / VLOOKUP("transport|NOx|Infant mortality", US_national_yearly!$D:$AM, 10, FALSE), 1)</f>
        <v>1.1728982046362379E-6</v>
      </c>
      <c r="X3" s="7">
        <f>$B3 * IFERROR(VLOOKUP("transport|NOx|Infant mortality", US_national_yearly!$D:$AM, 32, FALSE) / VLOOKUP("transport|NOx|Infant mortality", US_national_yearly!$D:$AM, 10, FALSE), 1)</f>
        <v>1.1652215703452396E-6</v>
      </c>
      <c r="Y3" s="7">
        <f>$B3 * IFERROR(VLOOKUP("transport|NOx|Infant mortality", US_national_yearly!$D:$AM, 33, FALSE) / VLOOKUP("transport|NOx|Infant mortality", US_national_yearly!$D:$AM, 10, FALSE), 1)</f>
        <v>1.1575449360542411E-6</v>
      </c>
      <c r="Z3" s="7">
        <f>$B3 * IFERROR(VLOOKUP("transport|NOx|Infant mortality", US_national_yearly!$D:$AM, 34, FALSE) / VLOOKUP("transport|NOx|Infant mortality", US_national_yearly!$D:$AM, 10, FALSE), 1)</f>
        <v>1.1498683017632426E-6</v>
      </c>
      <c r="AA3" s="7">
        <f>$B3 * IFERROR(VLOOKUP("transport|NOx|Infant mortality", US_national_yearly!$D:$AM, 35, FALSE) / VLOOKUP("transport|NOx|Infant mortality", US_national_yearly!$D:$AM, 10, FALSE), 1)</f>
        <v>1.1421916674722442E-6</v>
      </c>
      <c r="AB3" s="7">
        <f>$B3 * IFERROR(VLOOKUP("transport|NOx|Infant mortality", US_national_yearly!$D:$AM, 36, FALSE) / VLOOKUP("transport|NOx|Infant mortality", US_national_yearly!$D:$AM, 10, FALSE), 1)</f>
        <v>1.1345150331812455E-6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5.6008615674656113E-3</v>
      </c>
      <c r="C6" s="7">
        <f>$B6 * IFERROR(VLOOKUP("transport|NOx|Asthma symptoms cough", US_national_yearly!$D:$AM, 11, FALSE) / VLOOKUP("transport|NOx|Asthma symptoms cough", US_national_yearly!$D:$AM, 10, FALSE), 1)</f>
        <v>5.6774345021390503E-3</v>
      </c>
      <c r="D6" s="7">
        <f>$B6 * IFERROR(VLOOKUP("transport|NOx|Asthma symptoms cough", US_national_yearly!$D:$AM, 12, FALSE) / VLOOKUP("transport|NOx|Asthma symptoms cough", US_national_yearly!$D:$AM, 10, FALSE), 1)</f>
        <v>5.75400743681249E-3</v>
      </c>
      <c r="E6" s="7">
        <f>$B6 * IFERROR(VLOOKUP("transport|NOx|Asthma symptoms cough", US_national_yearly!$D:$AM, 13, FALSE) / VLOOKUP("transport|NOx|Asthma symptoms cough", US_national_yearly!$D:$AM, 10, FALSE), 1)</f>
        <v>5.830580371485929E-3</v>
      </c>
      <c r="F6" s="7">
        <f>$B6 * IFERROR(VLOOKUP("transport|NOx|Asthma symptoms cough", US_national_yearly!$D:$AM, 14, FALSE) / VLOOKUP("transport|NOx|Asthma symptoms cough", US_national_yearly!$D:$AM, 10, FALSE), 1)</f>
        <v>5.9071533061593687E-3</v>
      </c>
      <c r="G6" s="7">
        <f>$B6 * IFERROR(VLOOKUP("transport|NOx|Asthma symptoms cough", US_national_yearly!$D:$AM, 15, FALSE) / VLOOKUP("transport|NOx|Asthma symptoms cough", US_national_yearly!$D:$AM, 10, FALSE), 1)</f>
        <v>5.9682860941513999E-3</v>
      </c>
      <c r="H6" s="7">
        <f>$B6 * IFERROR(VLOOKUP("transport|NOx|Asthma symptoms cough", US_national_yearly!$D:$AM, 16, FALSE) / VLOOKUP("transport|NOx|Asthma symptoms cough", US_national_yearly!$D:$AM, 10, FALSE), 1)</f>
        <v>6.0294188821434329E-3</v>
      </c>
      <c r="I6" s="7">
        <f>$B6 * IFERROR(VLOOKUP("transport|NOx|Asthma symptoms cough", US_national_yearly!$D:$AM, 17, FALSE) / VLOOKUP("transport|NOx|Asthma symptoms cough", US_national_yearly!$D:$AM, 10, FALSE), 1)</f>
        <v>6.0504599138311559E-3</v>
      </c>
      <c r="J6" s="7">
        <f>$B6 * IFERROR(VLOOKUP("transport|NOx|Asthma symptoms cough", US_national_yearly!$D:$AM, 18, FALSE) / VLOOKUP("transport|NOx|Asthma symptoms cough", US_national_yearly!$D:$AM, 10, FALSE), 1)</f>
        <v>6.0715009455188798E-3</v>
      </c>
      <c r="K6" s="7">
        <f>$B6 * IFERROR(VLOOKUP("transport|NOx|Asthma symptoms cough", US_national_yearly!$D:$AM, 19, FALSE) / VLOOKUP("transport|NOx|Asthma symptoms cough", US_national_yearly!$D:$AM, 10, FALSE), 1)</f>
        <v>6.0925419772066038E-3</v>
      </c>
      <c r="L6" s="7">
        <f>$B6 * IFERROR(VLOOKUP("transport|NOx|Asthma symptoms cough", US_national_yearly!$D:$AM, 20, FALSE) / VLOOKUP("transport|NOx|Asthma symptoms cough", US_national_yearly!$D:$AM, 10, FALSE), 1)</f>
        <v>6.1135830088943268E-3</v>
      </c>
      <c r="M6" s="7">
        <f>$B6 * IFERROR(VLOOKUP("transport|NOx|Asthma symptoms cough", US_national_yearly!$D:$AM, 21, FALSE) / VLOOKUP("transport|NOx|Asthma symptoms cough", US_national_yearly!$D:$AM, 10, FALSE), 1)</f>
        <v>6.1346240405820507E-3</v>
      </c>
      <c r="N6" s="7">
        <f>$B6 * IFERROR(VLOOKUP("transport|NOx|Asthma symptoms cough", US_national_yearly!$D:$AM, 22, FALSE) / VLOOKUP("transport|NOx|Asthma symptoms cough", US_national_yearly!$D:$AM, 10, FALSE), 1)</f>
        <v>6.1590226836921455E-3</v>
      </c>
      <c r="O6" s="7">
        <f>$B6 * IFERROR(VLOOKUP("transport|NOx|Asthma symptoms cough", US_national_yearly!$D:$AM, 23, FALSE) / VLOOKUP("transport|NOx|Asthma symptoms cough", US_national_yearly!$D:$AM, 10, FALSE), 1)</f>
        <v>6.1834213268022412E-3</v>
      </c>
      <c r="P6" s="7">
        <f>$B6 * IFERROR(VLOOKUP("transport|NOx|Asthma symptoms cough", US_national_yearly!$D:$AM, 24, FALSE) / VLOOKUP("transport|NOx|Asthma symptoms cough", US_national_yearly!$D:$AM, 10, FALSE), 1)</f>
        <v>6.207819969912336E-3</v>
      </c>
      <c r="Q6" s="7">
        <f>$B6 * IFERROR(VLOOKUP("transport|NOx|Asthma symptoms cough", US_national_yearly!$D:$AM, 25, FALSE) / VLOOKUP("transport|NOx|Asthma symptoms cough", US_national_yearly!$D:$AM, 10, FALSE), 1)</f>
        <v>6.2322186130224326E-3</v>
      </c>
      <c r="R6" s="7">
        <f>$B6 * IFERROR(VLOOKUP("transport|NOx|Asthma symptoms cough", US_national_yearly!$D:$AM, 26, FALSE) / VLOOKUP("transport|NOx|Asthma symptoms cough", US_national_yearly!$D:$AM, 10, FALSE), 1)</f>
        <v>6.2566172561325274E-3</v>
      </c>
      <c r="S6" s="7">
        <f>$B6 * IFERROR(VLOOKUP("transport|NOx|Asthma symptoms cough", US_national_yearly!$D:$AM, 27, FALSE) / VLOOKUP("transport|NOx|Asthma symptoms cough", US_national_yearly!$D:$AM, 10, FALSE), 1)</f>
        <v>6.2884896549445608E-3</v>
      </c>
      <c r="T6" s="7">
        <f>$B6 * IFERROR(VLOOKUP("transport|NOx|Asthma symptoms cough", US_national_yearly!$D:$AM, 28, FALSE) / VLOOKUP("transport|NOx|Asthma symptoms cough", US_national_yearly!$D:$AM, 10, FALSE), 1)</f>
        <v>6.3203620537565924E-3</v>
      </c>
      <c r="U6" s="7">
        <f>$B6 * IFERROR(VLOOKUP("transport|NOx|Asthma symptoms cough", US_national_yearly!$D:$AM, 29, FALSE) / VLOOKUP("transport|NOx|Asthma symptoms cough", US_national_yearly!$D:$AM, 10, FALSE), 1)</f>
        <v>6.3522344525686223E-3</v>
      </c>
      <c r="V6" s="7">
        <f>$B6 * IFERROR(VLOOKUP("transport|NOx|Asthma symptoms cough", US_national_yearly!$D:$AM, 30, FALSE) / VLOOKUP("transport|NOx|Asthma symptoms cough", US_national_yearly!$D:$AM, 10, FALSE), 1)</f>
        <v>6.3841068513806557E-3</v>
      </c>
      <c r="W6" s="7">
        <f>$B6 * IFERROR(VLOOKUP("transport|NOx|Asthma symptoms cough", US_national_yearly!$D:$AM, 31, FALSE) / VLOOKUP("transport|NOx|Asthma symptoms cough", US_national_yearly!$D:$AM, 10, FALSE), 1)</f>
        <v>6.4159792501926874E-3</v>
      </c>
      <c r="X6" s="7">
        <f>$B6 * IFERROR(VLOOKUP("transport|NOx|Asthma symptoms cough", US_national_yearly!$D:$AM, 32, FALSE) / VLOOKUP("transport|NOx|Asthma symptoms cough", US_national_yearly!$D:$AM, 10, FALSE), 1)</f>
        <v>6.4455932882921448E-3</v>
      </c>
      <c r="Y6" s="7">
        <f>$B6 * IFERROR(VLOOKUP("transport|NOx|Asthma symptoms cough", US_national_yearly!$D:$AM, 33, FALSE) / VLOOKUP("transport|NOx|Asthma symptoms cough", US_national_yearly!$D:$AM, 10, FALSE), 1)</f>
        <v>6.4752073263916023E-3</v>
      </c>
      <c r="Z6" s="7">
        <f>$B6 * IFERROR(VLOOKUP("transport|NOx|Asthma symptoms cough", US_national_yearly!$D:$AM, 34, FALSE) / VLOOKUP("transport|NOx|Asthma symptoms cough", US_national_yearly!$D:$AM, 10, FALSE), 1)</f>
        <v>6.5048213644910598E-3</v>
      </c>
      <c r="AA6" s="7">
        <f>$B6 * IFERROR(VLOOKUP("transport|NOx|Asthma symptoms cough", US_national_yearly!$D:$AM, 35, FALSE) / VLOOKUP("transport|NOx|Asthma symptoms cough", US_national_yearly!$D:$AM, 10, FALSE), 1)</f>
        <v>6.5344354025905164E-3</v>
      </c>
      <c r="AB6" s="7">
        <f>$B6 * IFERROR(VLOOKUP("transport|NOx|Asthma symptoms cough", US_national_yearly!$D:$AM, 36, FALSE) / VLOOKUP("transport|NOx|Asthma symptoms cough", US_national_yearly!$D:$AM, 10, FALSE), 1)</f>
        <v>6.5640494406899756E-3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7.5420830169080442E-3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7.6451956224861325E-3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7.74830822806422E-3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7.8514208336423093E-3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7.9545334392203976E-3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8.0368544456898196E-3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8.1191754521592434E-3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8.1475091656043139E-3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8.1758428790493828E-3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8.2041765924944533E-3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8.2325103059395239E-3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8.2608440193845927E-3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8.2936990701696495E-3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8.3265541209547045E-3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8.3594091717397595E-3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8.3922642225248145E-3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8.4251192733098713E-3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8.4680384340115652E-3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8.5109575947132608E-3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8.5538767554149547E-3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8.5967959161166469E-3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8.6397150768183408E-3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8.6795931439470498E-3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8.7194712110757605E-3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8.7593492782044712E-3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8.7992273453331802E-3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8.8391054124618909E-3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1.1524057769969264E-2</v>
      </c>
      <c r="C8" s="7">
        <f>$B8 * IFERROR(VLOOKUP("transport|NOx|Asthma symptoms wheeze", US_national_yearly!$D:$AM, 11, FALSE) / VLOOKUP("transport|NOx|Asthma symptoms wheeze", US_national_yearly!$D:$AM, 10, FALSE), 1)</f>
        <v>1.1681610480990638E-2</v>
      </c>
      <c r="D8" s="7">
        <f>$B8 * IFERROR(VLOOKUP("transport|NOx|Asthma symptoms wheeze", US_national_yearly!$D:$AM, 12, FALSE) / VLOOKUP("transport|NOx|Asthma symptoms wheeze", US_national_yearly!$D:$AM, 10, FALSE), 1)</f>
        <v>1.1839163192012015E-2</v>
      </c>
      <c r="E8" s="7">
        <f>$B8 * IFERROR(VLOOKUP("transport|NOx|Asthma symptoms wheeze", US_national_yearly!$D:$AM, 13, FALSE) / VLOOKUP("transport|NOx|Asthma symptoms wheeze", US_national_yearly!$D:$AM, 10, FALSE), 1)</f>
        <v>1.1996715903033389E-2</v>
      </c>
      <c r="F8" s="7">
        <f>$B8 * IFERROR(VLOOKUP("transport|NOx|Asthma symptoms wheeze", US_national_yearly!$D:$AM, 14, FALSE) / VLOOKUP("transport|NOx|Asthma symptoms wheeze", US_national_yearly!$D:$AM, 10, FALSE), 1)</f>
        <v>1.2154268614054761E-2</v>
      </c>
      <c r="G8" s="7">
        <f>$B8 * IFERROR(VLOOKUP("transport|NOx|Asthma symptoms wheeze", US_national_yearly!$D:$AM, 15, FALSE) / VLOOKUP("transport|NOx|Asthma symptoms wheeze", US_national_yearly!$D:$AM, 10, FALSE), 1)</f>
        <v>1.2280052437395095E-2</v>
      </c>
      <c r="H8" s="7">
        <f>$B8 * IFERROR(VLOOKUP("transport|NOx|Asthma symptoms wheeze", US_national_yearly!$D:$AM, 16, FALSE) / VLOOKUP("transport|NOx|Asthma symptoms wheeze", US_national_yearly!$D:$AM, 10, FALSE), 1)</f>
        <v>1.2405836260735431E-2</v>
      </c>
      <c r="I8" s="7">
        <f>$B8 * IFERROR(VLOOKUP("transport|NOx|Asthma symptoms wheeze", US_national_yearly!$D:$AM, 17, FALSE) / VLOOKUP("transport|NOx|Asthma symptoms wheeze", US_national_yearly!$D:$AM, 10, FALSE), 1)</f>
        <v>1.244912925471481E-2</v>
      </c>
      <c r="J8" s="7">
        <f>$B8 * IFERROR(VLOOKUP("transport|NOx|Asthma symptoms wheeze", US_national_yearly!$D:$AM, 18, FALSE) / VLOOKUP("transport|NOx|Asthma symptoms wheeze", US_national_yearly!$D:$AM, 10, FALSE), 1)</f>
        <v>1.2492422248694192E-2</v>
      </c>
      <c r="K8" s="7">
        <f>$B8 * IFERROR(VLOOKUP("transport|NOx|Asthma symptoms wheeze", US_national_yearly!$D:$AM, 19, FALSE) / VLOOKUP("transport|NOx|Asthma symptoms wheeze", US_national_yearly!$D:$AM, 10, FALSE), 1)</f>
        <v>1.2535715242673568E-2</v>
      </c>
      <c r="L8" s="7">
        <f>$B8 * IFERROR(VLOOKUP("transport|NOx|Asthma symptoms wheeze", US_national_yearly!$D:$AM, 20, FALSE) / VLOOKUP("transport|NOx|Asthma symptoms wheeze", US_national_yearly!$D:$AM, 10, FALSE), 1)</f>
        <v>1.257900823665295E-2</v>
      </c>
      <c r="M8" s="7">
        <f>$B8 * IFERROR(VLOOKUP("transport|NOx|Asthma symptoms wheeze", US_national_yearly!$D:$AM, 21, FALSE) / VLOOKUP("transport|NOx|Asthma symptoms wheeze", US_national_yearly!$D:$AM, 10, FALSE), 1)</f>
        <v>1.262230123063233E-2</v>
      </c>
      <c r="N8" s="7">
        <f>$B8 * IFERROR(VLOOKUP("transport|NOx|Asthma symptoms wheeze", US_national_yearly!$D:$AM, 22, FALSE) / VLOOKUP("transport|NOx|Asthma symptoms wheeze", US_national_yearly!$D:$AM, 10, FALSE), 1)</f>
        <v>1.2672502681082505E-2</v>
      </c>
      <c r="O8" s="7">
        <f>$B8 * IFERROR(VLOOKUP("transport|NOx|Asthma symptoms wheeze", US_national_yearly!$D:$AM, 23, FALSE) / VLOOKUP("transport|NOx|Asthma symptoms wheeze", US_national_yearly!$D:$AM, 10, FALSE), 1)</f>
        <v>1.2722704131532682E-2</v>
      </c>
      <c r="P8" s="7">
        <f>$B8 * IFERROR(VLOOKUP("transport|NOx|Asthma symptoms wheeze", US_national_yearly!$D:$AM, 24, FALSE) / VLOOKUP("transport|NOx|Asthma symptoms wheeze", US_national_yearly!$D:$AM, 10, FALSE), 1)</f>
        <v>1.2772905581982859E-2</v>
      </c>
      <c r="Q8" s="7">
        <f>$B8 * IFERROR(VLOOKUP("transport|NOx|Asthma symptoms wheeze", US_national_yearly!$D:$AM, 25, FALSE) / VLOOKUP("transport|NOx|Asthma symptoms wheeze", US_national_yearly!$D:$AM, 10, FALSE), 1)</f>
        <v>1.2823107032433036E-2</v>
      </c>
      <c r="R8" s="7">
        <f>$B8 * IFERROR(VLOOKUP("transport|NOx|Asthma symptoms wheeze", US_national_yearly!$D:$AM, 26, FALSE) / VLOOKUP("transport|NOx|Asthma symptoms wheeze", US_national_yearly!$D:$AM, 10, FALSE), 1)</f>
        <v>1.2873308482883213E-2</v>
      </c>
      <c r="S8" s="7">
        <f>$B8 * IFERROR(VLOOKUP("transport|NOx|Asthma symptoms wheeze", US_national_yearly!$D:$AM, 27, FALSE) / VLOOKUP("transport|NOx|Asthma symptoms wheeze", US_national_yearly!$D:$AM, 10, FALSE), 1)</f>
        <v>1.2938887566175785E-2</v>
      </c>
      <c r="T8" s="7">
        <f>$B8 * IFERROR(VLOOKUP("transport|NOx|Asthma symptoms wheeze", US_national_yearly!$D:$AM, 28, FALSE) / VLOOKUP("transport|NOx|Asthma symptoms wheeze", US_national_yearly!$D:$AM, 10, FALSE), 1)</f>
        <v>1.3004466649468357E-2</v>
      </c>
      <c r="U8" s="7">
        <f>$B8 * IFERROR(VLOOKUP("transport|NOx|Asthma symptoms wheeze", US_national_yearly!$D:$AM, 29, FALSE) / VLOOKUP("transport|NOx|Asthma symptoms wheeze", US_national_yearly!$D:$AM, 10, FALSE), 1)</f>
        <v>1.3070045732760929E-2</v>
      </c>
      <c r="V8" s="7">
        <f>$B8 * IFERROR(VLOOKUP("transport|NOx|Asthma symptoms wheeze", US_national_yearly!$D:$AM, 30, FALSE) / VLOOKUP("transport|NOx|Asthma symptoms wheeze", US_national_yearly!$D:$AM, 10, FALSE), 1)</f>
        <v>1.3135624816053505E-2</v>
      </c>
      <c r="W8" s="7">
        <f>$B8 * IFERROR(VLOOKUP("transport|NOx|Asthma symptoms wheeze", US_national_yearly!$D:$AM, 31, FALSE) / VLOOKUP("transport|NOx|Asthma symptoms wheeze", US_national_yearly!$D:$AM, 10, FALSE), 1)</f>
        <v>1.3201203899346073E-2</v>
      </c>
      <c r="X8" s="7">
        <f>$B8 * IFERROR(VLOOKUP("transport|NOx|Asthma symptoms wheeze", US_national_yearly!$D:$AM, 32, FALSE) / VLOOKUP("transport|NOx|Asthma symptoms wheeze", US_national_yearly!$D:$AM, 10, FALSE), 1)</f>
        <v>1.3262136290470673E-2</v>
      </c>
      <c r="Y8" s="7">
        <f>$B8 * IFERROR(VLOOKUP("transport|NOx|Asthma symptoms wheeze", US_national_yearly!$D:$AM, 33, FALSE) / VLOOKUP("transport|NOx|Asthma symptoms wheeze", US_national_yearly!$D:$AM, 10, FALSE), 1)</f>
        <v>1.3323068681595267E-2</v>
      </c>
      <c r="Z8" s="7">
        <f>$B8 * IFERROR(VLOOKUP("transport|NOx|Asthma symptoms wheeze", US_national_yearly!$D:$AM, 34, FALSE) / VLOOKUP("transport|NOx|Asthma symptoms wheeze", US_national_yearly!$D:$AM, 10, FALSE), 1)</f>
        <v>1.3384001072719864E-2</v>
      </c>
      <c r="AA8" s="7">
        <f>$B8 * IFERROR(VLOOKUP("transport|NOx|Asthma symptoms wheeze", US_national_yearly!$D:$AM, 35, FALSE) / VLOOKUP("transport|NOx|Asthma symptoms wheeze", US_national_yearly!$D:$AM, 10, FALSE), 1)</f>
        <v>1.344493346384446E-2</v>
      </c>
      <c r="AB8" s="7">
        <f>$B8 * IFERROR(VLOOKUP("transport|NOx|Asthma symptoms wheeze", US_national_yearly!$D:$AM, 36, FALSE) / VLOOKUP("transport|NOx|Asthma symptoms wheeze", US_national_yearly!$D:$AM, 10, FALSE), 1)</f>
        <v>1.3505865854969058E-2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1.5066929262651314E-4</v>
      </c>
      <c r="C12" s="7">
        <f>$B12 * IFERROR(VLOOKUP("transport|NOx|Respiratory hospital admissions", US_national_yearly!$D:$AM, 11, FALSE) / VLOOKUP("transport|NOx|Respiratory hospital admissions", US_national_yearly!$D:$AM, 10, FALSE), 1)</f>
        <v>1.5442768761205828E-4</v>
      </c>
      <c r="D12" s="7">
        <f>$B12 * IFERROR(VLOOKUP("transport|NOx|Respiratory hospital admissions", US_national_yearly!$D:$AM, 12, FALSE) / VLOOKUP("transport|NOx|Respiratory hospital admissions", US_national_yearly!$D:$AM, 10, FALSE), 1)</f>
        <v>1.5818608259760347E-4</v>
      </c>
      <c r="E12" s="7">
        <f>$B12 * IFERROR(VLOOKUP("transport|NOx|Respiratory hospital admissions", US_national_yearly!$D:$AM, 13, FALSE) / VLOOKUP("transport|NOx|Respiratory hospital admissions", US_national_yearly!$D:$AM, 10, FALSE), 1)</f>
        <v>1.6194447758314864E-4</v>
      </c>
      <c r="F12" s="7">
        <f>$B12 * IFERROR(VLOOKUP("transport|NOx|Respiratory hospital admissions", US_national_yearly!$D:$AM, 14, FALSE) / VLOOKUP("transport|NOx|Respiratory hospital admissions", US_national_yearly!$D:$AM, 10, FALSE), 1)</f>
        <v>1.6570287256869381E-4</v>
      </c>
      <c r="G12" s="7">
        <f>$B12 * IFERROR(VLOOKUP("transport|NOx|Respiratory hospital admissions", US_national_yearly!$D:$AM, 15, FALSE) / VLOOKUP("transport|NOx|Respiratory hospital admissions", US_national_yearly!$D:$AM, 10, FALSE), 1)</f>
        <v>1.6929602609541325E-4</v>
      </c>
      <c r="H12" s="7">
        <f>$B12 * IFERROR(VLOOKUP("transport|NOx|Respiratory hospital admissions", US_national_yearly!$D:$AM, 16, FALSE) / VLOOKUP("transport|NOx|Respiratory hospital admissions", US_national_yearly!$D:$AM, 10, FALSE), 1)</f>
        <v>1.7288917962213267E-4</v>
      </c>
      <c r="I12" s="7">
        <f>$B12 * IFERROR(VLOOKUP("transport|NOx|Respiratory hospital admissions", US_national_yearly!$D:$AM, 17, FALSE) / VLOOKUP("transport|NOx|Respiratory hospital admissions", US_national_yearly!$D:$AM, 10, FALSE), 1)</f>
        <v>1.7593984083407851E-4</v>
      </c>
      <c r="J12" s="7">
        <f>$B12 * IFERROR(VLOOKUP("transport|NOx|Respiratory hospital admissions", US_national_yearly!$D:$AM, 18, FALSE) / VLOOKUP("transport|NOx|Respiratory hospital admissions", US_national_yearly!$D:$AM, 10, FALSE), 1)</f>
        <v>1.7899050204602429E-4</v>
      </c>
      <c r="K12" s="7">
        <f>$B12 * IFERROR(VLOOKUP("transport|NOx|Respiratory hospital admissions", US_national_yearly!$D:$AM, 19, FALSE) / VLOOKUP("transport|NOx|Respiratory hospital admissions", US_national_yearly!$D:$AM, 10, FALSE), 1)</f>
        <v>1.8204116325797013E-4</v>
      </c>
      <c r="L12" s="7">
        <f>$B12 * IFERROR(VLOOKUP("transport|NOx|Respiratory hospital admissions", US_national_yearly!$D:$AM, 20, FALSE) / VLOOKUP("transport|NOx|Respiratory hospital admissions", US_national_yearly!$D:$AM, 10, FALSE), 1)</f>
        <v>1.8509182446991594E-4</v>
      </c>
      <c r="M12" s="7">
        <f>$B12 * IFERROR(VLOOKUP("transport|NOx|Respiratory hospital admissions", US_national_yearly!$D:$AM, 21, FALSE) / VLOOKUP("transport|NOx|Respiratory hospital admissions", US_national_yearly!$D:$AM, 10, FALSE), 1)</f>
        <v>1.8814248568186178E-4</v>
      </c>
      <c r="N12" s="7">
        <f>$B12 * IFERROR(VLOOKUP("transport|NOx|Respiratory hospital admissions", US_national_yearly!$D:$AM, 22, FALSE) / VLOOKUP("transport|NOx|Respiratory hospital admissions", US_national_yearly!$D:$AM, 10, FALSE), 1)</f>
        <v>1.9018190762785841E-4</v>
      </c>
      <c r="O12" s="7">
        <f>$B12 * IFERROR(VLOOKUP("transport|NOx|Respiratory hospital admissions", US_national_yearly!$D:$AM, 23, FALSE) / VLOOKUP("transport|NOx|Respiratory hospital admissions", US_national_yearly!$D:$AM, 10, FALSE), 1)</f>
        <v>1.9222132957385509E-4</v>
      </c>
      <c r="P12" s="7">
        <f>$B12 * IFERROR(VLOOKUP("transport|NOx|Respiratory hospital admissions", US_national_yearly!$D:$AM, 24, FALSE) / VLOOKUP("transport|NOx|Respiratory hospital admissions", US_national_yearly!$D:$AM, 10, FALSE), 1)</f>
        <v>1.9426075151985175E-4</v>
      </c>
      <c r="Q12" s="7">
        <f>$B12 * IFERROR(VLOOKUP("transport|NOx|Respiratory hospital admissions", US_national_yearly!$D:$AM, 25, FALSE) / VLOOKUP("transport|NOx|Respiratory hospital admissions", US_national_yearly!$D:$AM, 10, FALSE), 1)</f>
        <v>1.9630017346584843E-4</v>
      </c>
      <c r="R12" s="7">
        <f>$B12 * IFERROR(VLOOKUP("transport|NOx|Respiratory hospital admissions", US_national_yearly!$D:$AM, 26, FALSE) / VLOOKUP("transport|NOx|Respiratory hospital admissions", US_national_yearly!$D:$AM, 10, FALSE), 1)</f>
        <v>1.9833959541184511E-4</v>
      </c>
      <c r="S12" s="7">
        <f>$B12 * IFERROR(VLOOKUP("transport|NOx|Respiratory hospital admissions", US_national_yearly!$D:$AM, 27, FALSE) / VLOOKUP("transport|NOx|Respiratory hospital admissions", US_national_yearly!$D:$AM, 10, FALSE), 1)</f>
        <v>1.9943226242857655E-4</v>
      </c>
      <c r="T12" s="7">
        <f>$B12 * IFERROR(VLOOKUP("transport|NOx|Respiratory hospital admissions", US_national_yearly!$D:$AM, 28, FALSE) / VLOOKUP("transport|NOx|Respiratory hospital admissions", US_national_yearly!$D:$AM, 10, FALSE), 1)</f>
        <v>2.0052492944530801E-4</v>
      </c>
      <c r="U12" s="7">
        <f>$B12 * IFERROR(VLOOKUP("transport|NOx|Respiratory hospital admissions", US_national_yearly!$D:$AM, 29, FALSE) / VLOOKUP("transport|NOx|Respiratory hospital admissions", US_national_yearly!$D:$AM, 10, FALSE), 1)</f>
        <v>2.0161759646203945E-4</v>
      </c>
      <c r="V12" s="7">
        <f>$B12 * IFERROR(VLOOKUP("transport|NOx|Respiratory hospital admissions", US_national_yearly!$D:$AM, 30, FALSE) / VLOOKUP("transport|NOx|Respiratory hospital admissions", US_national_yearly!$D:$AM, 10, FALSE), 1)</f>
        <v>2.0271026347877085E-4</v>
      </c>
      <c r="W12" s="7">
        <f>$B12 * IFERROR(VLOOKUP("transport|NOx|Respiratory hospital admissions", US_national_yearly!$D:$AM, 31, FALSE) / VLOOKUP("transport|NOx|Respiratory hospital admissions", US_national_yearly!$D:$AM, 10, FALSE), 1)</f>
        <v>2.0380293049550234E-4</v>
      </c>
      <c r="X12" s="7">
        <f>$B12 * IFERROR(VLOOKUP("transport|NOx|Respiratory hospital admissions", US_national_yearly!$D:$AM, 32, FALSE) / VLOOKUP("transport|NOx|Respiratory hospital admissions", US_national_yearly!$D:$AM, 10, FALSE), 1)</f>
        <v>2.0454962644598021E-4</v>
      </c>
      <c r="Y12" s="7">
        <f>$B12 * IFERROR(VLOOKUP("transport|NOx|Respiratory hospital admissions", US_national_yearly!$D:$AM, 33, FALSE) / VLOOKUP("transport|NOx|Respiratory hospital admissions", US_national_yearly!$D:$AM, 10, FALSE), 1)</f>
        <v>2.0529632239645813E-4</v>
      </c>
      <c r="Z12" s="7">
        <f>$B12 * IFERROR(VLOOKUP("transport|NOx|Respiratory hospital admissions", US_national_yearly!$D:$AM, 34, FALSE) / VLOOKUP("transport|NOx|Respiratory hospital admissions", US_national_yearly!$D:$AM, 10, FALSE), 1)</f>
        <v>2.0604301834693602E-4</v>
      </c>
      <c r="AA12" s="7">
        <f>$B12 * IFERROR(VLOOKUP("transport|NOx|Respiratory hospital admissions", US_national_yearly!$D:$AM, 35, FALSE) / VLOOKUP("transport|NOx|Respiratory hospital admissions", US_national_yearly!$D:$AM, 10, FALSE), 1)</f>
        <v>2.0678971429741394E-4</v>
      </c>
      <c r="AB12" s="7">
        <f>$B12 * IFERROR(VLOOKUP("transport|NOx|Respiratory hospital admissions", US_national_yearly!$D:$AM, 36, FALSE) / VLOOKUP("transport|NOx|Respiratory hospital admissions", US_national_yearly!$D:$AM, 10, FALSE), 1)</f>
        <v>2.0753641024789181E-4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9.1932084402594901E-4</v>
      </c>
      <c r="C13" s="7">
        <f>$B13 * IFERROR(VLOOKUP("transport|NOx|Non-fatal heart attacks", US_national_yearly!$D:$AM, 11, FALSE) / VLOOKUP("transport|NOx|Non-fatal heart attacks", US_national_yearly!$D:$AM, 10, FALSE), 1)</f>
        <v>9.4560341698330915E-4</v>
      </c>
      <c r="D13" s="7">
        <f>$B13 * IFERROR(VLOOKUP("transport|NOx|Non-fatal heart attacks", US_national_yearly!$D:$AM, 12, FALSE) / VLOOKUP("transport|NOx|Non-fatal heart attacks", US_national_yearly!$D:$AM, 10, FALSE), 1)</f>
        <v>9.7188598994066928E-4</v>
      </c>
      <c r="E13" s="7">
        <f>$B13 * IFERROR(VLOOKUP("transport|NOx|Non-fatal heart attacks", US_national_yearly!$D:$AM, 13, FALSE) / VLOOKUP("transport|NOx|Non-fatal heart attacks", US_national_yearly!$D:$AM, 10, FALSE), 1)</f>
        <v>9.981685628980292E-4</v>
      </c>
      <c r="F13" s="7">
        <f>$B13 * IFERROR(VLOOKUP("transport|NOx|Non-fatal heart attacks", US_national_yearly!$D:$AM, 14, FALSE) / VLOOKUP("transport|NOx|Non-fatal heart attacks", US_national_yearly!$D:$AM, 10, FALSE), 1)</f>
        <v>1.0244511358553892E-3</v>
      </c>
      <c r="G13" s="7">
        <f>$B13 * IFERROR(VLOOKUP("transport|NOx|Non-fatal heart attacks", US_national_yearly!$D:$AM, 15, FALSE) / VLOOKUP("transport|NOx|Non-fatal heart attacks", US_national_yearly!$D:$AM, 10, FALSE), 1)</f>
        <v>1.0490121456597325E-3</v>
      </c>
      <c r="H13" s="7">
        <f>$B13 * IFERROR(VLOOKUP("transport|NOx|Non-fatal heart attacks", US_national_yearly!$D:$AM, 16, FALSE) / VLOOKUP("transport|NOx|Non-fatal heart attacks", US_national_yearly!$D:$AM, 10, FALSE), 1)</f>
        <v>1.0735731554640758E-3</v>
      </c>
      <c r="I13" s="7">
        <f>$B13 * IFERROR(VLOOKUP("transport|NOx|Non-fatal heart attacks", US_national_yearly!$D:$AM, 17, FALSE) / VLOOKUP("transport|NOx|Non-fatal heart attacks", US_national_yearly!$D:$AM, 10, FALSE), 1)</f>
        <v>1.0929367041033074E-3</v>
      </c>
      <c r="J13" s="7">
        <f>$B13 * IFERROR(VLOOKUP("transport|NOx|Non-fatal heart attacks", US_national_yearly!$D:$AM, 18, FALSE) / VLOOKUP("transport|NOx|Non-fatal heart attacks", US_national_yearly!$D:$AM, 10, FALSE), 1)</f>
        <v>1.112300252742539E-3</v>
      </c>
      <c r="K13" s="7">
        <f>$B13 * IFERROR(VLOOKUP("transport|NOx|Non-fatal heart attacks", US_national_yearly!$D:$AM, 19, FALSE) / VLOOKUP("transport|NOx|Non-fatal heart attacks", US_national_yearly!$D:$AM, 10, FALSE), 1)</f>
        <v>1.1316638013817697E-3</v>
      </c>
      <c r="L13" s="7">
        <f>$B13 * IFERROR(VLOOKUP("transport|NOx|Non-fatal heart attacks", US_national_yearly!$D:$AM, 20, FALSE) / VLOOKUP("transport|NOx|Non-fatal heart attacks", US_national_yearly!$D:$AM, 10, FALSE), 1)</f>
        <v>1.1510273500210022E-3</v>
      </c>
      <c r="M13" s="7">
        <f>$B13 * IFERROR(VLOOKUP("transport|NOx|Non-fatal heart attacks", US_national_yearly!$D:$AM, 21, FALSE) / VLOOKUP("transport|NOx|Non-fatal heart attacks", US_national_yearly!$D:$AM, 10, FALSE), 1)</f>
        <v>1.1703908986602334E-3</v>
      </c>
      <c r="N13" s="7">
        <f>$B13 * IFERROR(VLOOKUP("transport|NOx|Non-fatal heart attacks", US_national_yearly!$D:$AM, 22, FALSE) / VLOOKUP("transport|NOx|Non-fatal heart attacks", US_national_yearly!$D:$AM, 10, FALSE), 1)</f>
        <v>1.1820405967517581E-3</v>
      </c>
      <c r="O13" s="7">
        <f>$B13 * IFERROR(VLOOKUP("transport|NOx|Non-fatal heart attacks", US_national_yearly!$D:$AM, 23, FALSE) / VLOOKUP("transport|NOx|Non-fatal heart attacks", US_national_yearly!$D:$AM, 10, FALSE), 1)</f>
        <v>1.1936902948432829E-3</v>
      </c>
      <c r="P13" s="7">
        <f>$B13 * IFERROR(VLOOKUP("transport|NOx|Non-fatal heart attacks", US_national_yearly!$D:$AM, 24, FALSE) / VLOOKUP("transport|NOx|Non-fatal heart attacks", US_national_yearly!$D:$AM, 10, FALSE), 1)</f>
        <v>1.2053399929348074E-3</v>
      </c>
      <c r="Q13" s="7">
        <f>$B13 * IFERROR(VLOOKUP("transport|NOx|Non-fatal heart attacks", US_national_yearly!$D:$AM, 25, FALSE) / VLOOKUP("transport|NOx|Non-fatal heart attacks", US_national_yearly!$D:$AM, 10, FALSE), 1)</f>
        <v>1.2169896910263324E-3</v>
      </c>
      <c r="R13" s="7">
        <f>$B13 * IFERROR(VLOOKUP("transport|NOx|Non-fatal heart attacks", US_national_yearly!$D:$AM, 26, FALSE) / VLOOKUP("transport|NOx|Non-fatal heart attacks", US_national_yearly!$D:$AM, 10, FALSE), 1)</f>
        <v>1.228639389117857E-3</v>
      </c>
      <c r="S13" s="7">
        <f>$B13 * IFERROR(VLOOKUP("transport|NOx|Non-fatal heart attacks", US_national_yearly!$D:$AM, 27, FALSE) / VLOOKUP("transport|NOx|Non-fatal heart attacks", US_national_yearly!$D:$AM, 10, FALSE), 1)</f>
        <v>1.2339237727458186E-3</v>
      </c>
      <c r="T13" s="7">
        <f>$B13 * IFERROR(VLOOKUP("transport|NOx|Non-fatal heart attacks", US_national_yearly!$D:$AM, 28, FALSE) / VLOOKUP("transport|NOx|Non-fatal heart attacks", US_national_yearly!$D:$AM, 10, FALSE), 1)</f>
        <v>1.2392081563737799E-3</v>
      </c>
      <c r="U13" s="7">
        <f>$B13 * IFERROR(VLOOKUP("transport|NOx|Non-fatal heart attacks", US_national_yearly!$D:$AM, 29, FALSE) / VLOOKUP("transport|NOx|Non-fatal heart attacks", US_national_yearly!$D:$AM, 10, FALSE), 1)</f>
        <v>1.2444925400017415E-3</v>
      </c>
      <c r="V13" s="7">
        <f>$B13 * IFERROR(VLOOKUP("transport|NOx|Non-fatal heart attacks", US_national_yearly!$D:$AM, 30, FALSE) / VLOOKUP("transport|NOx|Non-fatal heart attacks", US_national_yearly!$D:$AM, 10, FALSE), 1)</f>
        <v>1.2497769236297029E-3</v>
      </c>
      <c r="W13" s="7">
        <f>$B13 * IFERROR(VLOOKUP("transport|NOx|Non-fatal heart attacks", US_national_yearly!$D:$AM, 31, FALSE) / VLOOKUP("transport|NOx|Non-fatal heart attacks", US_national_yearly!$D:$AM, 10, FALSE), 1)</f>
        <v>1.2550613072576644E-3</v>
      </c>
      <c r="X13" s="7">
        <f>$B13 * IFERROR(VLOOKUP("transport|NOx|Non-fatal heart attacks", US_national_yearly!$D:$AM, 32, FALSE) / VLOOKUP("transport|NOx|Non-fatal heart attacks", US_national_yearly!$D:$AM, 10, FALSE), 1)</f>
        <v>1.2585926104526782E-3</v>
      </c>
      <c r="Y13" s="7">
        <f>$B13 * IFERROR(VLOOKUP("transport|NOx|Non-fatal heart attacks", US_national_yearly!$D:$AM, 33, FALSE) / VLOOKUP("transport|NOx|Non-fatal heart attacks", US_national_yearly!$D:$AM, 10, FALSE), 1)</f>
        <v>1.2621239136476924E-3</v>
      </c>
      <c r="Z13" s="7">
        <f>$B13 * IFERROR(VLOOKUP("transport|NOx|Non-fatal heart attacks", US_national_yearly!$D:$AM, 34, FALSE) / VLOOKUP("transport|NOx|Non-fatal heart attacks", US_national_yearly!$D:$AM, 10, FALSE), 1)</f>
        <v>1.2656552168427062E-3</v>
      </c>
      <c r="AA13" s="7">
        <f>$B13 * IFERROR(VLOOKUP("transport|NOx|Non-fatal heart attacks", US_national_yearly!$D:$AM, 35, FALSE) / VLOOKUP("transport|NOx|Non-fatal heart attacks", US_national_yearly!$D:$AM, 10, FALSE), 1)</f>
        <v>1.2691865200377202E-3</v>
      </c>
      <c r="AB13" s="7">
        <f>$B13 * IFERROR(VLOOKUP("transport|NOx|Non-fatal heart attacks", US_national_yearly!$D:$AM, 36, FALSE) / VLOOKUP("transport|NOx|Non-fatal heart attacks", US_national_yearly!$D:$AM, 10, FALSE), 1)</f>
        <v>1.2727178232327344E-3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0.76975318863440778</v>
      </c>
      <c r="C14" s="7">
        <f>$B14 * IFERROR(VLOOKUP("transport|NOx|Minor restricted activity days", US_national_yearly!$D:$AM, 11, FALSE) / VLOOKUP("transport|NOx|Minor restricted activity days", US_national_yearly!$D:$AM, 10, FALSE), 1)</f>
        <v>0.77093334945150394</v>
      </c>
      <c r="D14" s="7">
        <f>$B14 * IFERROR(VLOOKUP("transport|NOx|Minor restricted activity days", US_national_yearly!$D:$AM, 12, FALSE) / VLOOKUP("transport|NOx|Minor restricted activity days", US_national_yearly!$D:$AM, 10, FALSE), 1)</f>
        <v>0.77211351026860031</v>
      </c>
      <c r="E14" s="7">
        <f>$B14 * IFERROR(VLOOKUP("transport|NOx|Minor restricted activity days", US_national_yearly!$D:$AM, 13, FALSE) / VLOOKUP("transport|NOx|Minor restricted activity days", US_national_yearly!$D:$AM, 10, FALSE), 1)</f>
        <v>0.77329367108569669</v>
      </c>
      <c r="F14" s="7">
        <f>$B14 * IFERROR(VLOOKUP("transport|NOx|Minor restricted activity days", US_national_yearly!$D:$AM, 14, FALSE) / VLOOKUP("transport|NOx|Minor restricted activity days", US_national_yearly!$D:$AM, 10, FALSE), 1)</f>
        <v>0.77447383190279295</v>
      </c>
      <c r="G14" s="7">
        <f>$B14 * IFERROR(VLOOKUP("transport|NOx|Minor restricted activity days", US_national_yearly!$D:$AM, 15, FALSE) / VLOOKUP("transport|NOx|Minor restricted activity days", US_national_yearly!$D:$AM, 10, FALSE), 1)</f>
        <v>0.77660492143605675</v>
      </c>
      <c r="H14" s="7">
        <f>$B14 * IFERROR(VLOOKUP("transport|NOx|Minor restricted activity days", US_national_yearly!$D:$AM, 16, FALSE) / VLOOKUP("transport|NOx|Minor restricted activity days", US_national_yearly!$D:$AM, 10, FALSE), 1)</f>
        <v>0.77873601096932044</v>
      </c>
      <c r="I14" s="7">
        <f>$B14 * IFERROR(VLOOKUP("transport|NOx|Minor restricted activity days", US_national_yearly!$D:$AM, 17, FALSE) / VLOOKUP("transport|NOx|Minor restricted activity days", US_national_yearly!$D:$AM, 10, FALSE), 1)</f>
        <v>0.78290433782438418</v>
      </c>
      <c r="J14" s="7">
        <f>$B14 * IFERROR(VLOOKUP("transport|NOx|Minor restricted activity days", US_national_yearly!$D:$AM, 18, FALSE) / VLOOKUP("transport|NOx|Minor restricted activity days", US_national_yearly!$D:$AM, 10, FALSE), 1)</f>
        <v>0.78707266467944781</v>
      </c>
      <c r="K14" s="7">
        <f>$B14 * IFERROR(VLOOKUP("transport|NOx|Minor restricted activity days", US_national_yearly!$D:$AM, 19, FALSE) / VLOOKUP("transport|NOx|Minor restricted activity days", US_national_yearly!$D:$AM, 10, FALSE), 1)</f>
        <v>0.79124099153451166</v>
      </c>
      <c r="L14" s="7">
        <f>$B14 * IFERROR(VLOOKUP("transport|NOx|Minor restricted activity days", US_national_yearly!$D:$AM, 20, FALSE) / VLOOKUP("transport|NOx|Minor restricted activity days", US_national_yearly!$D:$AM, 10, FALSE), 1)</f>
        <v>0.79540931838957529</v>
      </c>
      <c r="M14" s="7">
        <f>$B14 * IFERROR(VLOOKUP("transport|NOx|Minor restricted activity days", US_national_yearly!$D:$AM, 21, FALSE) / VLOOKUP("transport|NOx|Minor restricted activity days", US_national_yearly!$D:$AM, 10, FALSE), 1)</f>
        <v>0.79957764524463903</v>
      </c>
      <c r="N14" s="7">
        <f>$B14 * IFERROR(VLOOKUP("transport|NOx|Minor restricted activity days", US_national_yearly!$D:$AM, 22, FALSE) / VLOOKUP("transport|NOx|Minor restricted activity days", US_national_yearly!$D:$AM, 10, FALSE), 1)</f>
        <v>0.80554574415344726</v>
      </c>
      <c r="O14" s="7">
        <f>$B14 * IFERROR(VLOOKUP("transport|NOx|Minor restricted activity days", US_national_yearly!$D:$AM, 23, FALSE) / VLOOKUP("transport|NOx|Minor restricted activity days", US_national_yearly!$D:$AM, 10, FALSE), 1)</f>
        <v>0.8115138430622556</v>
      </c>
      <c r="P14" s="7">
        <f>$B14 * IFERROR(VLOOKUP("transport|NOx|Minor restricted activity days", US_national_yearly!$D:$AM, 24, FALSE) / VLOOKUP("transport|NOx|Minor restricted activity days", US_national_yearly!$D:$AM, 10, FALSE), 1)</f>
        <v>0.81748194197106383</v>
      </c>
      <c r="Q14" s="7">
        <f>$B14 * IFERROR(VLOOKUP("transport|NOx|Minor restricted activity days", US_national_yearly!$D:$AM, 25, FALSE) / VLOOKUP("transport|NOx|Minor restricted activity days", US_national_yearly!$D:$AM, 10, FALSE), 1)</f>
        <v>0.82345004087987217</v>
      </c>
      <c r="R14" s="7">
        <f>$B14 * IFERROR(VLOOKUP("transport|NOx|Minor restricted activity days", US_national_yearly!$D:$AM, 26, FALSE) / VLOOKUP("transport|NOx|Minor restricted activity days", US_national_yearly!$D:$AM, 10, FALSE), 1)</f>
        <v>0.8294181397886804</v>
      </c>
      <c r="S14" s="7">
        <f>$B14 * IFERROR(VLOOKUP("transport|NOx|Minor restricted activity days", US_national_yearly!$D:$AM, 27, FALSE) / VLOOKUP("transport|NOx|Minor restricted activity days", US_national_yearly!$D:$AM, 10, FALSE), 1)</f>
        <v>0.83538498391746685</v>
      </c>
      <c r="T14" s="7">
        <f>$B14 * IFERROR(VLOOKUP("transport|NOx|Minor restricted activity days", US_national_yearly!$D:$AM, 28, FALSE) / VLOOKUP("transport|NOx|Minor restricted activity days", US_national_yearly!$D:$AM, 10, FALSE), 1)</f>
        <v>0.84135182804625319</v>
      </c>
      <c r="U14" s="7">
        <f>$B14 * IFERROR(VLOOKUP("transport|NOx|Minor restricted activity days", US_national_yearly!$D:$AM, 29, FALSE) / VLOOKUP("transport|NOx|Minor restricted activity days", US_national_yearly!$D:$AM, 10, FALSE), 1)</f>
        <v>0.84731867217503964</v>
      </c>
      <c r="V14" s="7">
        <f>$B14 * IFERROR(VLOOKUP("transport|NOx|Minor restricted activity days", US_national_yearly!$D:$AM, 30, FALSE) / VLOOKUP("transport|NOx|Minor restricted activity days", US_national_yearly!$D:$AM, 10, FALSE), 1)</f>
        <v>0.85328551630382621</v>
      </c>
      <c r="W14" s="7">
        <f>$B14 * IFERROR(VLOOKUP("transport|NOx|Minor restricted activity days", US_national_yearly!$D:$AM, 31, FALSE) / VLOOKUP("transport|NOx|Minor restricted activity days", US_national_yearly!$D:$AM, 10, FALSE), 1)</f>
        <v>0.85925236043261244</v>
      </c>
      <c r="X14" s="7">
        <f>$B14 * IFERROR(VLOOKUP("transport|NOx|Minor restricted activity days", US_national_yearly!$D:$AM, 32, FALSE) / VLOOKUP("transport|NOx|Minor restricted activity days", US_national_yearly!$D:$AM, 10, FALSE), 1)</f>
        <v>0.86429709983162262</v>
      </c>
      <c r="Y14" s="7">
        <f>$B14 * IFERROR(VLOOKUP("transport|NOx|Minor restricted activity days", US_national_yearly!$D:$AM, 33, FALSE) / VLOOKUP("transport|NOx|Minor restricted activity days", US_national_yearly!$D:$AM, 10, FALSE), 1)</f>
        <v>0.8693418392306328</v>
      </c>
      <c r="Z14" s="7">
        <f>$B14 * IFERROR(VLOOKUP("transport|NOx|Minor restricted activity days", US_national_yearly!$D:$AM, 34, FALSE) / VLOOKUP("transport|NOx|Minor restricted activity days", US_national_yearly!$D:$AM, 10, FALSE), 1)</f>
        <v>0.87438657862964297</v>
      </c>
      <c r="AA14" s="7">
        <f>$B14 * IFERROR(VLOOKUP("transport|NOx|Minor restricted activity days", US_national_yearly!$D:$AM, 35, FALSE) / VLOOKUP("transport|NOx|Minor restricted activity days", US_national_yearly!$D:$AM, 10, FALSE), 1)</f>
        <v>0.87943131802865304</v>
      </c>
      <c r="AB14" s="7">
        <f>$B14 * IFERROR(VLOOKUP("transport|NOx|Minor restricted activity days", US_national_yearly!$D:$AM, 36, FALSE) / VLOOKUP("transport|NOx|Minor restricted activity days", US_national_yearly!$D:$AM, 10, FALSE), 1)</f>
        <v>0.88447605742766322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0.13115904348377413</v>
      </c>
      <c r="C15" s="7">
        <f>$B15 * IFERROR(VLOOKUP("transport|NOx|Work loss days", US_national_yearly!$D:$AM, 11, FALSE) / VLOOKUP("transport|NOx|Work loss days", US_national_yearly!$D:$AM, 10, FALSE), 1)</f>
        <v>0.13145079972009296</v>
      </c>
      <c r="D15" s="7">
        <f>$B15 * IFERROR(VLOOKUP("transport|NOx|Work loss days", US_national_yearly!$D:$AM, 12, FALSE) / VLOOKUP("transport|NOx|Work loss days", US_national_yearly!$D:$AM, 10, FALSE), 1)</f>
        <v>0.13174255595641182</v>
      </c>
      <c r="E15" s="7">
        <f>$B15 * IFERROR(VLOOKUP("transport|NOx|Work loss days", US_national_yearly!$D:$AM, 13, FALSE) / VLOOKUP("transport|NOx|Work loss days", US_national_yearly!$D:$AM, 10, FALSE), 1)</f>
        <v>0.13203431219273065</v>
      </c>
      <c r="F15" s="7">
        <f>$B15 * IFERROR(VLOOKUP("transport|NOx|Work loss days", US_national_yearly!$D:$AM, 14, FALSE) / VLOOKUP("transport|NOx|Work loss days", US_national_yearly!$D:$AM, 10, FALSE), 1)</f>
        <v>0.13232606842904948</v>
      </c>
      <c r="G15" s="7">
        <f>$B15 * IFERROR(VLOOKUP("transport|NOx|Work loss days", US_national_yearly!$D:$AM, 15, FALSE) / VLOOKUP("transport|NOx|Work loss days", US_national_yearly!$D:$AM, 10, FALSE), 1)</f>
        <v>0.13275203502288524</v>
      </c>
      <c r="H15" s="7">
        <f>$B15 * IFERROR(VLOOKUP("transport|NOx|Work loss days", US_national_yearly!$D:$AM, 16, FALSE) / VLOOKUP("transport|NOx|Work loss days", US_national_yearly!$D:$AM, 10, FALSE), 1)</f>
        <v>0.133178001616721</v>
      </c>
      <c r="I15" s="7">
        <f>$B15 * IFERROR(VLOOKUP("transport|NOx|Work loss days", US_national_yearly!$D:$AM, 17, FALSE) / VLOOKUP("transport|NOx|Work loss days", US_national_yearly!$D:$AM, 10, FALSE), 1)</f>
        <v>0.13386804441295705</v>
      </c>
      <c r="J15" s="7">
        <f>$B15 * IFERROR(VLOOKUP("transport|NOx|Work loss days", US_national_yearly!$D:$AM, 18, FALSE) / VLOOKUP("transport|NOx|Work loss days", US_national_yearly!$D:$AM, 10, FALSE), 1)</f>
        <v>0.13455808720919316</v>
      </c>
      <c r="K15" s="7">
        <f>$B15 * IFERROR(VLOOKUP("transport|NOx|Work loss days", US_national_yearly!$D:$AM, 19, FALSE) / VLOOKUP("transport|NOx|Work loss days", US_national_yearly!$D:$AM, 10, FALSE), 1)</f>
        <v>0.13524813000542923</v>
      </c>
      <c r="L15" s="7">
        <f>$B15 * IFERROR(VLOOKUP("transport|NOx|Work loss days", US_national_yearly!$D:$AM, 20, FALSE) / VLOOKUP("transport|NOx|Work loss days", US_national_yearly!$D:$AM, 10, FALSE), 1)</f>
        <v>0.13593817280166531</v>
      </c>
      <c r="M15" s="7">
        <f>$B15 * IFERROR(VLOOKUP("transport|NOx|Work loss days", US_national_yearly!$D:$AM, 21, FALSE) / VLOOKUP("transport|NOx|Work loss days", US_national_yearly!$D:$AM, 10, FALSE), 1)</f>
        <v>0.13662821559790139</v>
      </c>
      <c r="N15" s="7">
        <f>$B15 * IFERROR(VLOOKUP("transport|NOx|Work loss days", US_national_yearly!$D:$AM, 22, FALSE) / VLOOKUP("transport|NOx|Work loss days", US_national_yearly!$D:$AM, 10, FALSE), 1)</f>
        <v>0.1375262639542906</v>
      </c>
      <c r="O15" s="7">
        <f>$B15 * IFERROR(VLOOKUP("transport|NOx|Work loss days", US_national_yearly!$D:$AM, 23, FALSE) / VLOOKUP("transport|NOx|Work loss days", US_national_yearly!$D:$AM, 10, FALSE), 1)</f>
        <v>0.13842431231067978</v>
      </c>
      <c r="P15" s="7">
        <f>$B15 * IFERROR(VLOOKUP("transport|NOx|Work loss days", US_national_yearly!$D:$AM, 24, FALSE) / VLOOKUP("transport|NOx|Work loss days", US_national_yearly!$D:$AM, 10, FALSE), 1)</f>
        <v>0.13932236066706899</v>
      </c>
      <c r="Q15" s="7">
        <f>$B15 * IFERROR(VLOOKUP("transport|NOx|Work loss days", US_national_yearly!$D:$AM, 25, FALSE) / VLOOKUP("transport|NOx|Work loss days", US_national_yearly!$D:$AM, 10, FALSE), 1)</f>
        <v>0.14022040902345814</v>
      </c>
      <c r="R15" s="7">
        <f>$B15 * IFERROR(VLOOKUP("transport|NOx|Work loss days", US_national_yearly!$D:$AM, 26, FALSE) / VLOOKUP("transport|NOx|Work loss days", US_national_yearly!$D:$AM, 10, FALSE), 1)</f>
        <v>0.14111845737984735</v>
      </c>
      <c r="S15" s="7">
        <f>$B15 * IFERROR(VLOOKUP("transport|NOx|Work loss days", US_national_yearly!$D:$AM, 27, FALSE) / VLOOKUP("transport|NOx|Work loss days", US_national_yearly!$D:$AM, 10, FALSE), 1)</f>
        <v>0.14211966647095817</v>
      </c>
      <c r="T15" s="7">
        <f>$B15 * IFERROR(VLOOKUP("transport|NOx|Work loss days", US_national_yearly!$D:$AM, 28, FALSE) / VLOOKUP("transport|NOx|Work loss days", US_national_yearly!$D:$AM, 10, FALSE), 1)</f>
        <v>0.14312087556206896</v>
      </c>
      <c r="U15" s="7">
        <f>$B15 * IFERROR(VLOOKUP("transport|NOx|Work loss days", US_national_yearly!$D:$AM, 29, FALSE) / VLOOKUP("transport|NOx|Work loss days", US_national_yearly!$D:$AM, 10, FALSE), 1)</f>
        <v>0.14412208465317972</v>
      </c>
      <c r="V15" s="7">
        <f>$B15 * IFERROR(VLOOKUP("transport|NOx|Work loss days", US_national_yearly!$D:$AM, 30, FALSE) / VLOOKUP("transport|NOx|Work loss days", US_national_yearly!$D:$AM, 10, FALSE), 1)</f>
        <v>0.14512329374429053</v>
      </c>
      <c r="W15" s="7">
        <f>$B15 * IFERROR(VLOOKUP("transport|NOx|Work loss days", US_national_yearly!$D:$AM, 31, FALSE) / VLOOKUP("transport|NOx|Work loss days", US_national_yearly!$D:$AM, 10, FALSE), 1)</f>
        <v>0.14612450283540132</v>
      </c>
      <c r="X15" s="7">
        <f>$B15 * IFERROR(VLOOKUP("transport|NOx|Work loss days", US_national_yearly!$D:$AM, 32, FALSE) / VLOOKUP("transport|NOx|Work loss days", US_national_yearly!$D:$AM, 10, FALSE), 1)</f>
        <v>0.1469934989452801</v>
      </c>
      <c r="Y15" s="7">
        <f>$B15 * IFERROR(VLOOKUP("transport|NOx|Work loss days", US_national_yearly!$D:$AM, 33, FALSE) / VLOOKUP("transport|NOx|Work loss days", US_national_yearly!$D:$AM, 10, FALSE), 1)</f>
        <v>0.14786249505515892</v>
      </c>
      <c r="Z15" s="7">
        <f>$B15 * IFERROR(VLOOKUP("transport|NOx|Work loss days", US_national_yearly!$D:$AM, 34, FALSE) / VLOOKUP("transport|NOx|Work loss days", US_national_yearly!$D:$AM, 10, FALSE), 1)</f>
        <v>0.1487314911650377</v>
      </c>
      <c r="AA15" s="7">
        <f>$B15 * IFERROR(VLOOKUP("transport|NOx|Work loss days", US_national_yearly!$D:$AM, 35, FALSE) / VLOOKUP("transport|NOx|Work loss days", US_national_yearly!$D:$AM, 10, FALSE), 1)</f>
        <v>0.14960048727491651</v>
      </c>
      <c r="AB15" s="7">
        <f>$B15 * IFERROR(VLOOKUP("transport|NOx|Work loss days", US_national_yearly!$D:$AM, 36, FALSE) / VLOOKUP("transport|NOx|Work loss days", US_national_yearly!$D:$AM, 10, FALSE), 1)</f>
        <v>0.15046948338479529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2.2347983290974747E-4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2.3004670549586745E-4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2.3661357808198741E-4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2.4318045066810734E-4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2.4974732325422735E-4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2.5598476621712394E-4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2.6222220918002052E-4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2.6746741752025195E-4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2.7271262586048338E-4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2.7795783420071481E-4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2.8320304254094624E-4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2.8844825088117772E-4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2.9172825345517937E-4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2.9500825602918107E-4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2.9828825860318277E-4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3.0156826117718448E-4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3.0484826375118613E-4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3.0634483885525572E-4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3.0784141395932531E-4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3.0933798906339485E-4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3.1083456416746444E-4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3.1233113927153403E-4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3.1316403520263117E-4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3.1399693113372837E-4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3.1482982706482551E-4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3.1566272299592271E-4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3.1649561892701985E-4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1.1480468836920287E-2</v>
      </c>
      <c r="C2" s="7">
        <f>$B2 * IFERROR(VLOOKUP("transport|SO2|Premature mortality", US_national_yearly!$D:$AM, 11, FALSE) / VLOOKUP("transport|SO2|Premature mortality", US_national_yearly!$D:$AM, 10, FALSE), 1)</f>
        <v>1.1625862763066545E-2</v>
      </c>
      <c r="D2" s="7">
        <f>$B2 * IFERROR(VLOOKUP("transport|SO2|Premature mortality", US_national_yearly!$D:$AM, 12, FALSE) / VLOOKUP("transport|SO2|Premature mortality", US_national_yearly!$D:$AM, 10, FALSE), 1)</f>
        <v>1.1771256689212806E-2</v>
      </c>
      <c r="E2" s="7">
        <f>$B2 * IFERROR(VLOOKUP("transport|SO2|Premature mortality", US_national_yearly!$D:$AM, 13, FALSE) / VLOOKUP("transport|SO2|Premature mortality", US_national_yearly!$D:$AM, 10, FALSE), 1)</f>
        <v>1.1916650615359063E-2</v>
      </c>
      <c r="F2" s="7">
        <f>$B2 * IFERROR(VLOOKUP("transport|SO2|Premature mortality", US_national_yearly!$D:$AM, 14, FALSE) / VLOOKUP("transport|SO2|Premature mortality", US_national_yearly!$D:$AM, 10, FALSE), 1)</f>
        <v>1.2062044541505321E-2</v>
      </c>
      <c r="G2" s="7">
        <f>$B2 * IFERROR(VLOOKUP("transport|SO2|Premature mortality", US_national_yearly!$D:$AM, 15, FALSE) / VLOOKUP("transport|SO2|Premature mortality", US_national_yearly!$D:$AM, 10, FALSE), 1)</f>
        <v>1.2342210397155346E-2</v>
      </c>
      <c r="H2" s="7">
        <f>$B2 * IFERROR(VLOOKUP("transport|SO2|Premature mortality", US_national_yearly!$D:$AM, 16, FALSE) / VLOOKUP("transport|SO2|Premature mortality", US_national_yearly!$D:$AM, 10, FALSE), 1)</f>
        <v>1.2622376252805366E-2</v>
      </c>
      <c r="I2" s="7">
        <f>$B2 * IFERROR(VLOOKUP("transport|SO2|Premature mortality", US_national_yearly!$D:$AM, 17, FALSE) / VLOOKUP("transport|SO2|Premature mortality", US_national_yearly!$D:$AM, 10, FALSE), 1)</f>
        <v>1.2807527017106985E-2</v>
      </c>
      <c r="J2" s="7">
        <f>$B2 * IFERROR(VLOOKUP("transport|SO2|Premature mortality", US_national_yearly!$D:$AM, 18, FALSE) / VLOOKUP("transport|SO2|Premature mortality", US_national_yearly!$D:$AM, 10, FALSE), 1)</f>
        <v>1.2992677781408602E-2</v>
      </c>
      <c r="K2" s="7">
        <f>$B2 * IFERROR(VLOOKUP("transport|SO2|Premature mortality", US_national_yearly!$D:$AM, 19, FALSE) / VLOOKUP("transport|SO2|Premature mortality", US_national_yearly!$D:$AM, 10, FALSE), 1)</f>
        <v>1.3177828545710216E-2</v>
      </c>
      <c r="L2" s="7">
        <f>$B2 * IFERROR(VLOOKUP("transport|SO2|Premature mortality", US_national_yearly!$D:$AM, 20, FALSE) / VLOOKUP("transport|SO2|Premature mortality", US_national_yearly!$D:$AM, 10, FALSE), 1)</f>
        <v>1.3362979310011834E-2</v>
      </c>
      <c r="M2" s="7">
        <f>$B2 * IFERROR(VLOOKUP("transport|SO2|Premature mortality", US_national_yearly!$D:$AM, 21, FALSE) / VLOOKUP("transport|SO2|Premature mortality", US_national_yearly!$D:$AM, 10, FALSE), 1)</f>
        <v>1.3548130074313451E-2</v>
      </c>
      <c r="N2" s="7">
        <f>$B2 * IFERROR(VLOOKUP("transport|SO2|Premature mortality", US_national_yearly!$D:$AM, 22, FALSE) / VLOOKUP("transport|SO2|Premature mortality", US_national_yearly!$D:$AM, 10, FALSE), 1)</f>
        <v>1.3692796838456424E-2</v>
      </c>
      <c r="O2" s="7">
        <f>$B2 * IFERROR(VLOOKUP("transport|SO2|Premature mortality", US_national_yearly!$D:$AM, 23, FALSE) / VLOOKUP("transport|SO2|Premature mortality", US_national_yearly!$D:$AM, 10, FALSE), 1)</f>
        <v>1.3837463602599397E-2</v>
      </c>
      <c r="P2" s="7">
        <f>$B2 * IFERROR(VLOOKUP("transport|SO2|Premature mortality", US_national_yearly!$D:$AM, 24, FALSE) / VLOOKUP("transport|SO2|Premature mortality", US_national_yearly!$D:$AM, 10, FALSE), 1)</f>
        <v>1.398213036674237E-2</v>
      </c>
      <c r="Q2" s="7">
        <f>$B2 * IFERROR(VLOOKUP("transport|SO2|Premature mortality", US_national_yearly!$D:$AM, 25, FALSE) / VLOOKUP("transport|SO2|Premature mortality", US_national_yearly!$D:$AM, 10, FALSE), 1)</f>
        <v>1.4126797130885342E-2</v>
      </c>
      <c r="R2" s="7">
        <f>$B2 * IFERROR(VLOOKUP("transport|SO2|Premature mortality", US_national_yearly!$D:$AM, 26, FALSE) / VLOOKUP("transport|SO2|Premature mortality", US_national_yearly!$D:$AM, 10, FALSE), 1)</f>
        <v>1.4271463895028313E-2</v>
      </c>
      <c r="S2" s="7">
        <f>$B2 * IFERROR(VLOOKUP("transport|SO2|Premature mortality", US_national_yearly!$D:$AM, 27, FALSE) / VLOOKUP("transport|SO2|Premature mortality", US_national_yearly!$D:$AM, 10, FALSE), 1)</f>
        <v>1.4348934873493665E-2</v>
      </c>
      <c r="T2" s="7">
        <f>$B2 * IFERROR(VLOOKUP("transport|SO2|Premature mortality", US_national_yearly!$D:$AM, 28, FALSE) / VLOOKUP("transport|SO2|Premature mortality", US_national_yearly!$D:$AM, 10, FALSE), 1)</f>
        <v>1.4426405851959014E-2</v>
      </c>
      <c r="U2" s="7">
        <f>$B2 * IFERROR(VLOOKUP("transport|SO2|Premature mortality", US_national_yearly!$D:$AM, 29, FALSE) / VLOOKUP("transport|SO2|Premature mortality", US_national_yearly!$D:$AM, 10, FALSE), 1)</f>
        <v>1.4503876830424364E-2</v>
      </c>
      <c r="V2" s="7">
        <f>$B2 * IFERROR(VLOOKUP("transport|SO2|Premature mortality", US_national_yearly!$D:$AM, 30, FALSE) / VLOOKUP("transport|SO2|Premature mortality", US_national_yearly!$D:$AM, 10, FALSE), 1)</f>
        <v>1.4581347808889712E-2</v>
      </c>
      <c r="W2" s="7">
        <f>$B2 * IFERROR(VLOOKUP("transport|SO2|Premature mortality", US_national_yearly!$D:$AM, 31, FALSE) / VLOOKUP("transport|SO2|Premature mortality", US_national_yearly!$D:$AM, 10, FALSE), 1)</f>
        <v>1.4658818787355064E-2</v>
      </c>
      <c r="X2" s="7">
        <f>$B2 * IFERROR(VLOOKUP("transport|SO2|Premature mortality", US_national_yearly!$D:$AM, 32, FALSE) / VLOOKUP("transport|SO2|Premature mortality", US_national_yearly!$D:$AM, 10, FALSE), 1)</f>
        <v>1.4674557253596201E-2</v>
      </c>
      <c r="Y2" s="7">
        <f>$B2 * IFERROR(VLOOKUP("transport|SO2|Premature mortality", US_national_yearly!$D:$AM, 33, FALSE) / VLOOKUP("transport|SO2|Premature mortality", US_national_yearly!$D:$AM, 10, FALSE), 1)</f>
        <v>1.4690295719837342E-2</v>
      </c>
      <c r="Z2" s="7">
        <f>$B2 * IFERROR(VLOOKUP("transport|SO2|Premature mortality", US_national_yearly!$D:$AM, 34, FALSE) / VLOOKUP("transport|SO2|Premature mortality", US_national_yearly!$D:$AM, 10, FALSE), 1)</f>
        <v>1.4706034186078482E-2</v>
      </c>
      <c r="AA2" s="7">
        <f>$B2 * IFERROR(VLOOKUP("transport|SO2|Premature mortality", US_national_yearly!$D:$AM, 35, FALSE) / VLOOKUP("transport|SO2|Premature mortality", US_national_yearly!$D:$AM, 10, FALSE), 1)</f>
        <v>1.4721772652319621E-2</v>
      </c>
      <c r="AB2" s="7">
        <f>$B2 * IFERROR(VLOOKUP("transport|SO2|Premature mortality", US_national_yearly!$D:$AM, 36, FALSE) / VLOOKUP("transport|SO2|Premature mortality", US_national_yearly!$D:$AM, 10, FALSE), 1)</f>
        <v>1.473751111856076E-2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2.4032873838077598E-5</v>
      </c>
      <c r="C3" s="7">
        <f>$B3 * IFERROR(VLOOKUP("transport|SO2|Infant mortality", US_national_yearly!$D:$AM, 11, FALSE) / VLOOKUP("transport|SO2|Infant mortality", US_national_yearly!$D:$AM, 10, FALSE), 1)</f>
        <v>2.3826427068078437E-5</v>
      </c>
      <c r="D3" s="7">
        <f>$B3 * IFERROR(VLOOKUP("transport|SO2|Infant mortality", US_national_yearly!$D:$AM, 12, FALSE) / VLOOKUP("transport|SO2|Infant mortality", US_national_yearly!$D:$AM, 10, FALSE), 1)</f>
        <v>2.3619980298079279E-5</v>
      </c>
      <c r="E3" s="7">
        <f>$B3 * IFERROR(VLOOKUP("transport|SO2|Infant mortality", US_national_yearly!$D:$AM, 13, FALSE) / VLOOKUP("transport|SO2|Infant mortality", US_national_yearly!$D:$AM, 10, FALSE), 1)</f>
        <v>2.3413533528080115E-5</v>
      </c>
      <c r="F3" s="7">
        <f>$B3 * IFERROR(VLOOKUP("transport|SO2|Infant mortality", US_national_yearly!$D:$AM, 14, FALSE) / VLOOKUP("transport|SO2|Infant mortality", US_national_yearly!$D:$AM, 10, FALSE), 1)</f>
        <v>2.3207086758080957E-5</v>
      </c>
      <c r="G3" s="7">
        <f>$B3 * IFERROR(VLOOKUP("transport|SO2|Infant mortality", US_national_yearly!$D:$AM, 15, FALSE) / VLOOKUP("transport|SO2|Infant mortality", US_national_yearly!$D:$AM, 10, FALSE), 1)</f>
        <v>1.5457788916332643E-5</v>
      </c>
      <c r="H3" s="7">
        <f>$B3 * IFERROR(VLOOKUP("transport|SO2|Infant mortality", US_national_yearly!$D:$AM, 16, FALSE) / VLOOKUP("transport|SO2|Infant mortality", US_national_yearly!$D:$AM, 10, FALSE), 1)</f>
        <v>7.7084910745843456E-6</v>
      </c>
      <c r="I3" s="7">
        <f>$B3 * IFERROR(VLOOKUP("transport|SO2|Infant mortality", US_national_yearly!$D:$AM, 17, FALSE) / VLOOKUP("transport|SO2|Infant mortality", US_national_yearly!$D:$AM, 10, FALSE), 1)</f>
        <v>7.6601333823090289E-6</v>
      </c>
      <c r="J3" s="7">
        <f>$B3 * IFERROR(VLOOKUP("transport|SO2|Infant mortality", US_national_yearly!$D:$AM, 18, FALSE) / VLOOKUP("transport|SO2|Infant mortality", US_national_yearly!$D:$AM, 10, FALSE), 1)</f>
        <v>7.6117756900337121E-6</v>
      </c>
      <c r="K3" s="7">
        <f>$B3 * IFERROR(VLOOKUP("transport|SO2|Infant mortality", US_national_yearly!$D:$AM, 19, FALSE) / VLOOKUP("transport|SO2|Infant mortality", US_national_yearly!$D:$AM, 10, FALSE), 1)</f>
        <v>7.5634179977583963E-6</v>
      </c>
      <c r="L3" s="7">
        <f>$B3 * IFERROR(VLOOKUP("transport|SO2|Infant mortality", US_national_yearly!$D:$AM, 20, FALSE) / VLOOKUP("transport|SO2|Infant mortality", US_national_yearly!$D:$AM, 10, FALSE), 1)</f>
        <v>7.5150603054830813E-6</v>
      </c>
      <c r="M3" s="7">
        <f>$B3 * IFERROR(VLOOKUP("transport|SO2|Infant mortality", US_national_yearly!$D:$AM, 21, FALSE) / VLOOKUP("transport|SO2|Infant mortality", US_national_yearly!$D:$AM, 10, FALSE), 1)</f>
        <v>7.4667026132077645E-6</v>
      </c>
      <c r="N3" s="7">
        <f>$B3 * IFERROR(VLOOKUP("transport|SO2|Infant mortality", US_national_yearly!$D:$AM, 22, FALSE) / VLOOKUP("transport|SO2|Infant mortality", US_national_yearly!$D:$AM, 10, FALSE), 1)</f>
        <v>7.4363488518042575E-6</v>
      </c>
      <c r="O3" s="7">
        <f>$B3 * IFERROR(VLOOKUP("transport|SO2|Infant mortality", US_national_yearly!$D:$AM, 23, FALSE) / VLOOKUP("transport|SO2|Infant mortality", US_national_yearly!$D:$AM, 10, FALSE), 1)</f>
        <v>7.4059950904007496E-6</v>
      </c>
      <c r="P3" s="7">
        <f>$B3 * IFERROR(VLOOKUP("transport|SO2|Infant mortality", US_national_yearly!$D:$AM, 24, FALSE) / VLOOKUP("transport|SO2|Infant mortality", US_national_yearly!$D:$AM, 10, FALSE), 1)</f>
        <v>7.37564132899724E-6</v>
      </c>
      <c r="Q3" s="7">
        <f>$B3 * IFERROR(VLOOKUP("transport|SO2|Infant mortality", US_national_yearly!$D:$AM, 25, FALSE) / VLOOKUP("transport|SO2|Infant mortality", US_national_yearly!$D:$AM, 10, FALSE), 1)</f>
        <v>7.3452875675937321E-6</v>
      </c>
      <c r="R3" s="7">
        <f>$B3 * IFERROR(VLOOKUP("transport|SO2|Infant mortality", US_national_yearly!$D:$AM, 26, FALSE) / VLOOKUP("transport|SO2|Infant mortality", US_national_yearly!$D:$AM, 10, FALSE), 1)</f>
        <v>7.3149338061902233E-6</v>
      </c>
      <c r="S3" s="7">
        <f>$B3 * IFERROR(VLOOKUP("transport|SO2|Infant mortality", US_national_yearly!$D:$AM, 27, FALSE) / VLOOKUP("transport|SO2|Infant mortality", US_national_yearly!$D:$AM, 10, FALSE), 1)</f>
        <v>7.2768228095573913E-6</v>
      </c>
      <c r="T3" s="7">
        <f>$B3 * IFERROR(VLOOKUP("transport|SO2|Infant mortality", US_national_yearly!$D:$AM, 28, FALSE) / VLOOKUP("transport|SO2|Infant mortality", US_national_yearly!$D:$AM, 10, FALSE), 1)</f>
        <v>7.2387118129245584E-6</v>
      </c>
      <c r="U3" s="7">
        <f>$B3 * IFERROR(VLOOKUP("transport|SO2|Infant mortality", US_national_yearly!$D:$AM, 29, FALSE) / VLOOKUP("transport|SO2|Infant mortality", US_national_yearly!$D:$AM, 10, FALSE), 1)</f>
        <v>7.2006008162917238E-6</v>
      </c>
      <c r="V3" s="7">
        <f>$B3 * IFERROR(VLOOKUP("transport|SO2|Infant mortality", US_national_yearly!$D:$AM, 30, FALSE) / VLOOKUP("transport|SO2|Infant mortality", US_national_yearly!$D:$AM, 10, FALSE), 1)</f>
        <v>7.1624898196588926E-6</v>
      </c>
      <c r="W3" s="7">
        <f>$B3 * IFERROR(VLOOKUP("transport|SO2|Infant mortality", US_national_yearly!$D:$AM, 31, FALSE) / VLOOKUP("transport|SO2|Infant mortality", US_national_yearly!$D:$AM, 10, FALSE), 1)</f>
        <v>7.1243788230260588E-6</v>
      </c>
      <c r="X3" s="7">
        <f>$B3 * IFERROR(VLOOKUP("transport|SO2|Infant mortality", US_national_yearly!$D:$AM, 32, FALSE) / VLOOKUP("transport|SO2|Infant mortality", US_national_yearly!$D:$AM, 10, FALSE), 1)</f>
        <v>7.0827117399060842E-6</v>
      </c>
      <c r="Y3" s="7">
        <f>$B3 * IFERROR(VLOOKUP("transport|SO2|Infant mortality", US_national_yearly!$D:$AM, 33, FALSE) / VLOOKUP("transport|SO2|Infant mortality", US_national_yearly!$D:$AM, 10, FALSE), 1)</f>
        <v>7.0410446567861069E-6</v>
      </c>
      <c r="Z3" s="7">
        <f>$B3 * IFERROR(VLOOKUP("transport|SO2|Infant mortality", US_national_yearly!$D:$AM, 34, FALSE) / VLOOKUP("transport|SO2|Infant mortality", US_national_yearly!$D:$AM, 10, FALSE), 1)</f>
        <v>6.9993775736661322E-6</v>
      </c>
      <c r="AA3" s="7">
        <f>$B3 * IFERROR(VLOOKUP("transport|SO2|Infant mortality", US_national_yearly!$D:$AM, 35, FALSE) / VLOOKUP("transport|SO2|Infant mortality", US_national_yearly!$D:$AM, 10, FALSE), 1)</f>
        <v>6.957710490546155E-6</v>
      </c>
      <c r="AB3" s="7">
        <f>$B3 * IFERROR(VLOOKUP("transport|SO2|Infant mortality", US_national_yearly!$D:$AM, 36, FALSE) / VLOOKUP("transport|SO2|Infant mortality", US_national_yearly!$D:$AM, 10, FALSE), 1)</f>
        <v>6.9160434074261803E-6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3.4311953714921066E-2</v>
      </c>
      <c r="C6" s="7">
        <f>$B6 * IFERROR(VLOOKUP("transport|SO2|Asthma symptoms cough", US_national_yearly!$D:$AM, 11, FALSE) / VLOOKUP("transport|SO2|Asthma symptoms cough", US_national_yearly!$D:$AM, 10, FALSE), 1)</f>
        <v>3.4311953714921066E-2</v>
      </c>
      <c r="D6" s="7">
        <f>$B6 * IFERROR(VLOOKUP("transport|SO2|Asthma symptoms cough", US_national_yearly!$D:$AM, 12, FALSE) / VLOOKUP("transport|SO2|Asthma symptoms cough", US_national_yearly!$D:$AM, 10, FALSE), 1)</f>
        <v>3.4311953714921066E-2</v>
      </c>
      <c r="E6" s="7">
        <f>$B6 * IFERROR(VLOOKUP("transport|SO2|Asthma symptoms cough", US_national_yearly!$D:$AM, 13, FALSE) / VLOOKUP("transport|SO2|Asthma symptoms cough", US_national_yearly!$D:$AM, 10, FALSE), 1)</f>
        <v>3.4311953714921066E-2</v>
      </c>
      <c r="F6" s="7">
        <f>$B6 * IFERROR(VLOOKUP("transport|SO2|Asthma symptoms cough", US_national_yearly!$D:$AM, 14, FALSE) / VLOOKUP("transport|SO2|Asthma symptoms cough", US_national_yearly!$D:$AM, 10, FALSE), 1)</f>
        <v>3.4311953714921066E-2</v>
      </c>
      <c r="G6" s="7">
        <f>$B6 * IFERROR(VLOOKUP("transport|SO2|Asthma symptoms cough", US_national_yearly!$D:$AM, 15, FALSE) / VLOOKUP("transport|SO2|Asthma symptoms cough", US_national_yearly!$D:$AM, 10, FALSE), 1)</f>
        <v>3.4311953714921066E-2</v>
      </c>
      <c r="H6" s="7">
        <f>$B6 * IFERROR(VLOOKUP("transport|SO2|Asthma symptoms cough", US_national_yearly!$D:$AM, 16, FALSE) / VLOOKUP("transport|SO2|Asthma symptoms cough", US_national_yearly!$D:$AM, 10, FALSE), 1)</f>
        <v>3.4311953714921066E-2</v>
      </c>
      <c r="I6" s="7">
        <f>$B6 * IFERROR(VLOOKUP("transport|SO2|Asthma symptoms cough", US_national_yearly!$D:$AM, 17, FALSE) / VLOOKUP("transport|SO2|Asthma symptoms cough", US_national_yearly!$D:$AM, 10, FALSE), 1)</f>
        <v>3.4311953714921066E-2</v>
      </c>
      <c r="J6" s="7">
        <f>$B6 * IFERROR(VLOOKUP("transport|SO2|Asthma symptoms cough", US_national_yearly!$D:$AM, 18, FALSE) / VLOOKUP("transport|SO2|Asthma symptoms cough", US_national_yearly!$D:$AM, 10, FALSE), 1)</f>
        <v>3.4311953714921066E-2</v>
      </c>
      <c r="K6" s="7">
        <f>$B6 * IFERROR(VLOOKUP("transport|SO2|Asthma symptoms cough", US_national_yearly!$D:$AM, 19, FALSE) / VLOOKUP("transport|SO2|Asthma symptoms cough", US_national_yearly!$D:$AM, 10, FALSE), 1)</f>
        <v>3.4311953714921066E-2</v>
      </c>
      <c r="L6" s="7">
        <f>$B6 * IFERROR(VLOOKUP("transport|SO2|Asthma symptoms cough", US_national_yearly!$D:$AM, 20, FALSE) / VLOOKUP("transport|SO2|Asthma symptoms cough", US_national_yearly!$D:$AM, 10, FALSE), 1)</f>
        <v>3.4311953714921066E-2</v>
      </c>
      <c r="M6" s="7">
        <f>$B6 * IFERROR(VLOOKUP("transport|SO2|Asthma symptoms cough", US_national_yearly!$D:$AM, 21, FALSE) / VLOOKUP("transport|SO2|Asthma symptoms cough", US_national_yearly!$D:$AM, 10, FALSE), 1)</f>
        <v>3.4311953714921066E-2</v>
      </c>
      <c r="N6" s="7">
        <f>$B6 * IFERROR(VLOOKUP("transport|SO2|Asthma symptoms cough", US_national_yearly!$D:$AM, 22, FALSE) / VLOOKUP("transport|SO2|Asthma symptoms cough", US_national_yearly!$D:$AM, 10, FALSE), 1)</f>
        <v>3.4311953714921066E-2</v>
      </c>
      <c r="O6" s="7">
        <f>$B6 * IFERROR(VLOOKUP("transport|SO2|Asthma symptoms cough", US_national_yearly!$D:$AM, 23, FALSE) / VLOOKUP("transport|SO2|Asthma symptoms cough", US_national_yearly!$D:$AM, 10, FALSE), 1)</f>
        <v>3.4311953714921066E-2</v>
      </c>
      <c r="P6" s="7">
        <f>$B6 * IFERROR(VLOOKUP("transport|SO2|Asthma symptoms cough", US_national_yearly!$D:$AM, 24, FALSE) / VLOOKUP("transport|SO2|Asthma symptoms cough", US_national_yearly!$D:$AM, 10, FALSE), 1)</f>
        <v>3.4311953714921066E-2</v>
      </c>
      <c r="Q6" s="7">
        <f>$B6 * IFERROR(VLOOKUP("transport|SO2|Asthma symptoms cough", US_national_yearly!$D:$AM, 25, FALSE) / VLOOKUP("transport|SO2|Asthma symptoms cough", US_national_yearly!$D:$AM, 10, FALSE), 1)</f>
        <v>3.4311953714921066E-2</v>
      </c>
      <c r="R6" s="7">
        <f>$B6 * IFERROR(VLOOKUP("transport|SO2|Asthma symptoms cough", US_national_yearly!$D:$AM, 26, FALSE) / VLOOKUP("transport|SO2|Asthma symptoms cough", US_national_yearly!$D:$AM, 10, FALSE), 1)</f>
        <v>3.4311953714921066E-2</v>
      </c>
      <c r="S6" s="7">
        <f>$B6 * IFERROR(VLOOKUP("transport|SO2|Asthma symptoms cough", US_national_yearly!$D:$AM, 27, FALSE) / VLOOKUP("transport|SO2|Asthma symptoms cough", US_national_yearly!$D:$AM, 10, FALSE), 1)</f>
        <v>3.4311953714921066E-2</v>
      </c>
      <c r="T6" s="7">
        <f>$B6 * IFERROR(VLOOKUP("transport|SO2|Asthma symptoms cough", US_national_yearly!$D:$AM, 28, FALSE) / VLOOKUP("transport|SO2|Asthma symptoms cough", US_national_yearly!$D:$AM, 10, FALSE), 1)</f>
        <v>3.4311953714921066E-2</v>
      </c>
      <c r="U6" s="7">
        <f>$B6 * IFERROR(VLOOKUP("transport|SO2|Asthma symptoms cough", US_national_yearly!$D:$AM, 29, FALSE) / VLOOKUP("transport|SO2|Asthma symptoms cough", US_national_yearly!$D:$AM, 10, FALSE), 1)</f>
        <v>3.4311953714921066E-2</v>
      </c>
      <c r="V6" s="7">
        <f>$B6 * IFERROR(VLOOKUP("transport|SO2|Asthma symptoms cough", US_national_yearly!$D:$AM, 30, FALSE) / VLOOKUP("transport|SO2|Asthma symptoms cough", US_national_yearly!$D:$AM, 10, FALSE), 1)</f>
        <v>3.4311953714921066E-2</v>
      </c>
      <c r="W6" s="7">
        <f>$B6 * IFERROR(VLOOKUP("transport|SO2|Asthma symptoms cough", US_national_yearly!$D:$AM, 31, FALSE) / VLOOKUP("transport|SO2|Asthma symptoms cough", US_national_yearly!$D:$AM, 10, FALSE), 1)</f>
        <v>3.4311953714921066E-2</v>
      </c>
      <c r="X6" s="7">
        <f>$B6 * IFERROR(VLOOKUP("transport|SO2|Asthma symptoms cough", US_national_yearly!$D:$AM, 32, FALSE) / VLOOKUP("transport|SO2|Asthma symptoms cough", US_national_yearly!$D:$AM, 10, FALSE), 1)</f>
        <v>3.4311953714921066E-2</v>
      </c>
      <c r="Y6" s="7">
        <f>$B6 * IFERROR(VLOOKUP("transport|SO2|Asthma symptoms cough", US_national_yearly!$D:$AM, 33, FALSE) / VLOOKUP("transport|SO2|Asthma symptoms cough", US_national_yearly!$D:$AM, 10, FALSE), 1)</f>
        <v>3.4311953714921066E-2</v>
      </c>
      <c r="Z6" s="7">
        <f>$B6 * IFERROR(VLOOKUP("transport|SO2|Asthma symptoms cough", US_national_yearly!$D:$AM, 34, FALSE) / VLOOKUP("transport|SO2|Asthma symptoms cough", US_national_yearly!$D:$AM, 10, FALSE), 1)</f>
        <v>3.4311953714921066E-2</v>
      </c>
      <c r="AA6" s="7">
        <f>$B6 * IFERROR(VLOOKUP("transport|SO2|Asthma symptoms cough", US_national_yearly!$D:$AM, 35, FALSE) / VLOOKUP("transport|SO2|Asthma symptoms cough", US_national_yearly!$D:$AM, 10, FALSE), 1)</f>
        <v>3.4311953714921066E-2</v>
      </c>
      <c r="AB6" s="7">
        <f>$B6 * IFERROR(VLOOKUP("transport|SO2|Asthma symptoms cough", US_national_yearly!$D:$AM, 36, FALSE) / VLOOKUP("transport|SO2|Asthma symptoms cough", US_national_yearly!$D:$AM, 10, FALSE), 1)</f>
        <v>3.4311953714921066E-2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4.6205858969160588E-2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4.6205858969160588E-2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4.6205858969160588E-2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4.6205858969160588E-2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4.6205858969160588E-2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4.6205858969160588E-2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4.6205858969160588E-2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4.6205858969160588E-2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4.6205858969160588E-2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4.6205858969160588E-2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4.6205858969160588E-2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4.6205858969160588E-2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4.6205858969160588E-2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4.6205858969160588E-2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4.6205858969160588E-2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4.6205858969160588E-2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4.6205858969160588E-2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4.6205858969160588E-2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4.6205858969160588E-2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4.6205858969160588E-2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4.6205858969160588E-2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4.6205858969160588E-2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4.6205858969160588E-2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4.6205858969160588E-2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4.6205858969160588E-2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4.6205858969160588E-2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4.6205858969160588E-2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7.059531210042877E-2</v>
      </c>
      <c r="C8" s="7">
        <f>$B8 * IFERROR(VLOOKUP("transport|SO2|Asthma symptoms wheeze", US_national_yearly!$D:$AM, 11, FALSE) / VLOOKUP("transport|SO2|Asthma symptoms wheeze", US_national_yearly!$D:$AM, 10, FALSE), 1)</f>
        <v>7.059531210042877E-2</v>
      </c>
      <c r="D8" s="7">
        <f>$B8 * IFERROR(VLOOKUP("transport|SO2|Asthma symptoms wheeze", US_national_yearly!$D:$AM, 12, FALSE) / VLOOKUP("transport|SO2|Asthma symptoms wheeze", US_national_yearly!$D:$AM, 10, FALSE), 1)</f>
        <v>7.059531210042877E-2</v>
      </c>
      <c r="E8" s="7">
        <f>$B8 * IFERROR(VLOOKUP("transport|SO2|Asthma symptoms wheeze", US_national_yearly!$D:$AM, 13, FALSE) / VLOOKUP("transport|SO2|Asthma symptoms wheeze", US_national_yearly!$D:$AM, 10, FALSE), 1)</f>
        <v>7.059531210042877E-2</v>
      </c>
      <c r="F8" s="7">
        <f>$B8 * IFERROR(VLOOKUP("transport|SO2|Asthma symptoms wheeze", US_national_yearly!$D:$AM, 14, FALSE) / VLOOKUP("transport|SO2|Asthma symptoms wheeze", US_national_yearly!$D:$AM, 10, FALSE), 1)</f>
        <v>7.059531210042877E-2</v>
      </c>
      <c r="G8" s="7">
        <f>$B8 * IFERROR(VLOOKUP("transport|SO2|Asthma symptoms wheeze", US_national_yearly!$D:$AM, 15, FALSE) / VLOOKUP("transport|SO2|Asthma symptoms wheeze", US_national_yearly!$D:$AM, 10, FALSE), 1)</f>
        <v>7.059531210042877E-2</v>
      </c>
      <c r="H8" s="7">
        <f>$B8 * IFERROR(VLOOKUP("transport|SO2|Asthma symptoms wheeze", US_national_yearly!$D:$AM, 16, FALSE) / VLOOKUP("transport|SO2|Asthma symptoms wheeze", US_national_yearly!$D:$AM, 10, FALSE), 1)</f>
        <v>7.059531210042877E-2</v>
      </c>
      <c r="I8" s="7">
        <f>$B8 * IFERROR(VLOOKUP("transport|SO2|Asthma symptoms wheeze", US_national_yearly!$D:$AM, 17, FALSE) / VLOOKUP("transport|SO2|Asthma symptoms wheeze", US_national_yearly!$D:$AM, 10, FALSE), 1)</f>
        <v>7.059531210042877E-2</v>
      </c>
      <c r="J8" s="7">
        <f>$B8 * IFERROR(VLOOKUP("transport|SO2|Asthma symptoms wheeze", US_national_yearly!$D:$AM, 18, FALSE) / VLOOKUP("transport|SO2|Asthma symptoms wheeze", US_national_yearly!$D:$AM, 10, FALSE), 1)</f>
        <v>7.059531210042877E-2</v>
      </c>
      <c r="K8" s="7">
        <f>$B8 * IFERROR(VLOOKUP("transport|SO2|Asthma symptoms wheeze", US_national_yearly!$D:$AM, 19, FALSE) / VLOOKUP("transport|SO2|Asthma symptoms wheeze", US_national_yearly!$D:$AM, 10, FALSE), 1)</f>
        <v>7.059531210042877E-2</v>
      </c>
      <c r="L8" s="7">
        <f>$B8 * IFERROR(VLOOKUP("transport|SO2|Asthma symptoms wheeze", US_national_yearly!$D:$AM, 20, FALSE) / VLOOKUP("transport|SO2|Asthma symptoms wheeze", US_national_yearly!$D:$AM, 10, FALSE), 1)</f>
        <v>7.059531210042877E-2</v>
      </c>
      <c r="M8" s="7">
        <f>$B8 * IFERROR(VLOOKUP("transport|SO2|Asthma symptoms wheeze", US_national_yearly!$D:$AM, 21, FALSE) / VLOOKUP("transport|SO2|Asthma symptoms wheeze", US_national_yearly!$D:$AM, 10, FALSE), 1)</f>
        <v>7.059531210042877E-2</v>
      </c>
      <c r="N8" s="7">
        <f>$B8 * IFERROR(VLOOKUP("transport|SO2|Asthma symptoms wheeze", US_national_yearly!$D:$AM, 22, FALSE) / VLOOKUP("transport|SO2|Asthma symptoms wheeze", US_national_yearly!$D:$AM, 10, FALSE), 1)</f>
        <v>7.059531210042877E-2</v>
      </c>
      <c r="O8" s="7">
        <f>$B8 * IFERROR(VLOOKUP("transport|SO2|Asthma symptoms wheeze", US_national_yearly!$D:$AM, 23, FALSE) / VLOOKUP("transport|SO2|Asthma symptoms wheeze", US_national_yearly!$D:$AM, 10, FALSE), 1)</f>
        <v>7.059531210042877E-2</v>
      </c>
      <c r="P8" s="7">
        <f>$B8 * IFERROR(VLOOKUP("transport|SO2|Asthma symptoms wheeze", US_national_yearly!$D:$AM, 24, FALSE) / VLOOKUP("transport|SO2|Asthma symptoms wheeze", US_national_yearly!$D:$AM, 10, FALSE), 1)</f>
        <v>7.059531210042877E-2</v>
      </c>
      <c r="Q8" s="7">
        <f>$B8 * IFERROR(VLOOKUP("transport|SO2|Asthma symptoms wheeze", US_national_yearly!$D:$AM, 25, FALSE) / VLOOKUP("transport|SO2|Asthma symptoms wheeze", US_national_yearly!$D:$AM, 10, FALSE), 1)</f>
        <v>7.059531210042877E-2</v>
      </c>
      <c r="R8" s="7">
        <f>$B8 * IFERROR(VLOOKUP("transport|SO2|Asthma symptoms wheeze", US_national_yearly!$D:$AM, 26, FALSE) / VLOOKUP("transport|SO2|Asthma symptoms wheeze", US_national_yearly!$D:$AM, 10, FALSE), 1)</f>
        <v>7.059531210042877E-2</v>
      </c>
      <c r="S8" s="7">
        <f>$B8 * IFERROR(VLOOKUP("transport|SO2|Asthma symptoms wheeze", US_national_yearly!$D:$AM, 27, FALSE) / VLOOKUP("transport|SO2|Asthma symptoms wheeze", US_national_yearly!$D:$AM, 10, FALSE), 1)</f>
        <v>7.059531210042877E-2</v>
      </c>
      <c r="T8" s="7">
        <f>$B8 * IFERROR(VLOOKUP("transport|SO2|Asthma symptoms wheeze", US_national_yearly!$D:$AM, 28, FALSE) / VLOOKUP("transport|SO2|Asthma symptoms wheeze", US_national_yearly!$D:$AM, 10, FALSE), 1)</f>
        <v>7.059531210042877E-2</v>
      </c>
      <c r="U8" s="7">
        <f>$B8 * IFERROR(VLOOKUP("transport|SO2|Asthma symptoms wheeze", US_national_yearly!$D:$AM, 29, FALSE) / VLOOKUP("transport|SO2|Asthma symptoms wheeze", US_national_yearly!$D:$AM, 10, FALSE), 1)</f>
        <v>7.059531210042877E-2</v>
      </c>
      <c r="V8" s="7">
        <f>$B8 * IFERROR(VLOOKUP("transport|SO2|Asthma symptoms wheeze", US_national_yearly!$D:$AM, 30, FALSE) / VLOOKUP("transport|SO2|Asthma symptoms wheeze", US_national_yearly!$D:$AM, 10, FALSE), 1)</f>
        <v>7.059531210042877E-2</v>
      </c>
      <c r="W8" s="7">
        <f>$B8 * IFERROR(VLOOKUP("transport|SO2|Asthma symptoms wheeze", US_national_yearly!$D:$AM, 31, FALSE) / VLOOKUP("transport|SO2|Asthma symptoms wheeze", US_national_yearly!$D:$AM, 10, FALSE), 1)</f>
        <v>7.059531210042877E-2</v>
      </c>
      <c r="X8" s="7">
        <f>$B8 * IFERROR(VLOOKUP("transport|SO2|Asthma symptoms wheeze", US_national_yearly!$D:$AM, 32, FALSE) / VLOOKUP("transport|SO2|Asthma symptoms wheeze", US_national_yearly!$D:$AM, 10, FALSE), 1)</f>
        <v>7.059531210042877E-2</v>
      </c>
      <c r="Y8" s="7">
        <f>$B8 * IFERROR(VLOOKUP("transport|SO2|Asthma symptoms wheeze", US_national_yearly!$D:$AM, 33, FALSE) / VLOOKUP("transport|SO2|Asthma symptoms wheeze", US_national_yearly!$D:$AM, 10, FALSE), 1)</f>
        <v>7.059531210042877E-2</v>
      </c>
      <c r="Z8" s="7">
        <f>$B8 * IFERROR(VLOOKUP("transport|SO2|Asthma symptoms wheeze", US_national_yearly!$D:$AM, 34, FALSE) / VLOOKUP("transport|SO2|Asthma symptoms wheeze", US_national_yearly!$D:$AM, 10, FALSE), 1)</f>
        <v>7.059531210042877E-2</v>
      </c>
      <c r="AA8" s="7">
        <f>$B8 * IFERROR(VLOOKUP("transport|SO2|Asthma symptoms wheeze", US_national_yearly!$D:$AM, 35, FALSE) / VLOOKUP("transport|SO2|Asthma symptoms wheeze", US_national_yearly!$D:$AM, 10, FALSE), 1)</f>
        <v>7.059531210042877E-2</v>
      </c>
      <c r="AB8" s="7">
        <f>$B8 * IFERROR(VLOOKUP("transport|SO2|Asthma symptoms wheeze", US_national_yearly!$D:$AM, 36, FALSE) / VLOOKUP("transport|SO2|Asthma symptoms wheeze", US_national_yearly!$D:$AM, 10, FALSE), 1)</f>
        <v>7.059531210042877E-2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8.9612797838954671E-4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9.0141338573907805E-4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9.0669879308860949E-4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9.1198420043814082E-4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9.1726960778767215E-4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9.2303159329357653E-4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9.2879357879948091E-4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9.344755825540968E-4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9.4015758630871279E-4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9.4583959006332846E-4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9.5152159381794456E-4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9.5720359757256023E-4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9.6135128491794204E-4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9.6549897226332363E-4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9.6964665960870523E-4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9.7379434695408704E-4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9.7794203429946874E-4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9.8189861154948806E-4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9.8585518879950717E-4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9.8981176604952671E-4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9.9376834329954603E-4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9.9772492054956536E-4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1.0014790627670465E-3</v>
      </c>
      <c r="Y12" s="7">
        <f>$B12 * IFERROR(VLOOKUP("transport|SO2|Respiratory hospital admissions", US_national_yearly!$D:$AM, 33, FALSE) / VLOOKUP("transport|SO2|Respiratory hospital admissions", US_national_yearly!$D:$AM, 10, FALSE), 1)</f>
        <v>1.0052332049845277E-3</v>
      </c>
      <c r="Z12" s="7">
        <f>$B12 * IFERROR(VLOOKUP("transport|SO2|Respiratory hospital admissions", US_national_yearly!$D:$AM, 34, FALSE) / VLOOKUP("transport|SO2|Respiratory hospital admissions", US_national_yearly!$D:$AM, 10, FALSE), 1)</f>
        <v>1.0089873472020089E-3</v>
      </c>
      <c r="AA12" s="7">
        <f>$B12 * IFERROR(VLOOKUP("transport|SO2|Respiratory hospital admissions", US_national_yearly!$D:$AM, 35, FALSE) / VLOOKUP("transport|SO2|Respiratory hospital admissions", US_national_yearly!$D:$AM, 10, FALSE), 1)</f>
        <v>1.0127414894194901E-3</v>
      </c>
      <c r="AB12" s="7">
        <f>$B12 * IFERROR(VLOOKUP("transport|SO2|Respiratory hospital admissions", US_national_yearly!$D:$AM, 36, FALSE) / VLOOKUP("transport|SO2|Respiratory hospital admissions", US_national_yearly!$D:$AM, 10, FALSE), 1)</f>
        <v>1.0164956316369715E-3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5.8140927405154136E-3</v>
      </c>
      <c r="C13" s="7">
        <f>$B13 * IFERROR(VLOOKUP("transport|SO2|Non-fatal heart attacks", US_national_yearly!$D:$AM, 11, FALSE) / VLOOKUP("transport|SO2|Non-fatal heart attacks", US_national_yearly!$D:$AM, 10, FALSE), 1)</f>
        <v>5.9847733854341998E-3</v>
      </c>
      <c r="D13" s="7">
        <f>$B13 * IFERROR(VLOOKUP("transport|SO2|Non-fatal heart attacks", US_national_yearly!$D:$AM, 12, FALSE) / VLOOKUP("transport|SO2|Non-fatal heart attacks", US_national_yearly!$D:$AM, 10, FALSE), 1)</f>
        <v>6.1554540303529852E-3</v>
      </c>
      <c r="E13" s="7">
        <f>$B13 * IFERROR(VLOOKUP("transport|SO2|Non-fatal heart attacks", US_national_yearly!$D:$AM, 13, FALSE) / VLOOKUP("transport|SO2|Non-fatal heart attacks", US_national_yearly!$D:$AM, 10, FALSE), 1)</f>
        <v>6.3261346752717714E-3</v>
      </c>
      <c r="F13" s="7">
        <f>$B13 * IFERROR(VLOOKUP("transport|SO2|Non-fatal heart attacks", US_national_yearly!$D:$AM, 14, FALSE) / VLOOKUP("transport|SO2|Non-fatal heart attacks", US_national_yearly!$D:$AM, 10, FALSE), 1)</f>
        <v>6.4968153201905559E-3</v>
      </c>
      <c r="G13" s="7">
        <f>$B13 * IFERROR(VLOOKUP("transport|SO2|Non-fatal heart attacks", US_national_yearly!$D:$AM, 15, FALSE) / VLOOKUP("transport|SO2|Non-fatal heart attacks", US_national_yearly!$D:$AM, 10, FALSE), 1)</f>
        <v>6.6577829999459369E-3</v>
      </c>
      <c r="H13" s="7">
        <f>$B13 * IFERROR(VLOOKUP("transport|SO2|Non-fatal heart attacks", US_national_yearly!$D:$AM, 16, FALSE) / VLOOKUP("transport|SO2|Non-fatal heart attacks", US_national_yearly!$D:$AM, 10, FALSE), 1)</f>
        <v>6.8187506797013188E-3</v>
      </c>
      <c r="I13" s="7">
        <f>$B13 * IFERROR(VLOOKUP("transport|SO2|Non-fatal heart attacks", US_national_yearly!$D:$AM, 17, FALSE) / VLOOKUP("transport|SO2|Non-fatal heart attacks", US_national_yearly!$D:$AM, 10, FALSE), 1)</f>
        <v>6.948279200870571E-3</v>
      </c>
      <c r="J13" s="7">
        <f>$B13 * IFERROR(VLOOKUP("transport|SO2|Non-fatal heart attacks", US_national_yearly!$D:$AM, 18, FALSE) / VLOOKUP("transport|SO2|Non-fatal heart attacks", US_national_yearly!$D:$AM, 10, FALSE), 1)</f>
        <v>7.0778077220398257E-3</v>
      </c>
      <c r="K13" s="7">
        <f>$B13 * IFERROR(VLOOKUP("transport|SO2|Non-fatal heart attacks", US_national_yearly!$D:$AM, 19, FALSE) / VLOOKUP("transport|SO2|Non-fatal heart attacks", US_national_yearly!$D:$AM, 10, FALSE), 1)</f>
        <v>7.2073362432090778E-3</v>
      </c>
      <c r="L13" s="7">
        <f>$B13 * IFERROR(VLOOKUP("transport|SO2|Non-fatal heart attacks", US_national_yearly!$D:$AM, 20, FALSE) / VLOOKUP("transport|SO2|Non-fatal heart attacks", US_national_yearly!$D:$AM, 10, FALSE), 1)</f>
        <v>7.3368647643783334E-3</v>
      </c>
      <c r="M13" s="7">
        <f>$B13 * IFERROR(VLOOKUP("transport|SO2|Non-fatal heart attacks", US_national_yearly!$D:$AM, 21, FALSE) / VLOOKUP("transport|SO2|Non-fatal heart attacks", US_national_yearly!$D:$AM, 10, FALSE), 1)</f>
        <v>7.4663932855475873E-3</v>
      </c>
      <c r="N13" s="7">
        <f>$B13 * IFERROR(VLOOKUP("transport|SO2|Non-fatal heart attacks", US_national_yearly!$D:$AM, 22, FALSE) / VLOOKUP("transport|SO2|Non-fatal heart attacks", US_national_yearly!$D:$AM, 10, FALSE), 1)</f>
        <v>7.5504977192549427E-3</v>
      </c>
      <c r="O13" s="7">
        <f>$B13 * IFERROR(VLOOKUP("transport|SO2|Non-fatal heart attacks", US_national_yearly!$D:$AM, 23, FALSE) / VLOOKUP("transport|SO2|Non-fatal heart attacks", US_national_yearly!$D:$AM, 10, FALSE), 1)</f>
        <v>7.6346021529623016E-3</v>
      </c>
      <c r="P13" s="7">
        <f>$B13 * IFERROR(VLOOKUP("transport|SO2|Non-fatal heart attacks", US_national_yearly!$D:$AM, 24, FALSE) / VLOOKUP("transport|SO2|Non-fatal heart attacks", US_national_yearly!$D:$AM, 10, FALSE), 1)</f>
        <v>7.7187065866696596E-3</v>
      </c>
      <c r="Q13" s="7">
        <f>$B13 * IFERROR(VLOOKUP("transport|SO2|Non-fatal heart attacks", US_national_yearly!$D:$AM, 25, FALSE) / VLOOKUP("transport|SO2|Non-fatal heart attacks", US_national_yearly!$D:$AM, 10, FALSE), 1)</f>
        <v>7.8028110203770158E-3</v>
      </c>
      <c r="R13" s="7">
        <f>$B13 * IFERROR(VLOOKUP("transport|SO2|Non-fatal heart attacks", US_national_yearly!$D:$AM, 26, FALSE) / VLOOKUP("transport|SO2|Non-fatal heart attacks", US_national_yearly!$D:$AM, 10, FALSE), 1)</f>
        <v>7.8869154540843738E-3</v>
      </c>
      <c r="S13" s="7">
        <f>$B13 * IFERROR(VLOOKUP("transport|SO2|Non-fatal heart attacks", US_national_yearly!$D:$AM, 27, FALSE) / VLOOKUP("transport|SO2|Non-fatal heart attacks", US_national_yearly!$D:$AM, 10, FALSE), 1)</f>
        <v>7.9308259058532872E-3</v>
      </c>
      <c r="T13" s="7">
        <f>$B13 * IFERROR(VLOOKUP("transport|SO2|Non-fatal heart attacks", US_national_yearly!$D:$AM, 28, FALSE) / VLOOKUP("transport|SO2|Non-fatal heart attacks", US_national_yearly!$D:$AM, 10, FALSE), 1)</f>
        <v>7.9747363576222006E-3</v>
      </c>
      <c r="U13" s="7">
        <f>$B13 * IFERROR(VLOOKUP("transport|SO2|Non-fatal heart attacks", US_national_yearly!$D:$AM, 29, FALSE) / VLOOKUP("transport|SO2|Non-fatal heart attacks", US_national_yearly!$D:$AM, 10, FALSE), 1)</f>
        <v>8.018646809391114E-3</v>
      </c>
      <c r="V13" s="7">
        <f>$B13 * IFERROR(VLOOKUP("transport|SO2|Non-fatal heart attacks", US_national_yearly!$D:$AM, 30, FALSE) / VLOOKUP("transport|SO2|Non-fatal heart attacks", US_national_yearly!$D:$AM, 10, FALSE), 1)</f>
        <v>8.0625572611600273E-3</v>
      </c>
      <c r="W13" s="7">
        <f>$B13 * IFERROR(VLOOKUP("transport|SO2|Non-fatal heart attacks", US_national_yearly!$D:$AM, 31, FALSE) / VLOOKUP("transport|SO2|Non-fatal heart attacks", US_national_yearly!$D:$AM, 10, FALSE), 1)</f>
        <v>8.1064677129289425E-3</v>
      </c>
      <c r="X13" s="7">
        <f>$B13 * IFERROR(VLOOKUP("transport|SO2|Non-fatal heart attacks", US_national_yearly!$D:$AM, 32, FALSE) / VLOOKUP("transport|SO2|Non-fatal heart attacks", US_national_yearly!$D:$AM, 10, FALSE), 1)</f>
        <v>8.1396162629981481E-3</v>
      </c>
      <c r="Y13" s="7">
        <f>$B13 * IFERROR(VLOOKUP("transport|SO2|Non-fatal heart attacks", US_national_yearly!$D:$AM, 33, FALSE) / VLOOKUP("transport|SO2|Non-fatal heart attacks", US_national_yearly!$D:$AM, 10, FALSE), 1)</f>
        <v>8.1727648130673555E-3</v>
      </c>
      <c r="Z13" s="7">
        <f>$B13 * IFERROR(VLOOKUP("transport|SO2|Non-fatal heart attacks", US_national_yearly!$D:$AM, 34, FALSE) / VLOOKUP("transport|SO2|Non-fatal heart attacks", US_national_yearly!$D:$AM, 10, FALSE), 1)</f>
        <v>8.2059133631365612E-3</v>
      </c>
      <c r="AA13" s="7">
        <f>$B13 * IFERROR(VLOOKUP("transport|SO2|Non-fatal heart attacks", US_national_yearly!$D:$AM, 35, FALSE) / VLOOKUP("transport|SO2|Non-fatal heart attacks", US_national_yearly!$D:$AM, 10, FALSE), 1)</f>
        <v>8.2390619132057669E-3</v>
      </c>
      <c r="AB13" s="7">
        <f>$B13 * IFERROR(VLOOKUP("transport|SO2|Non-fatal heart attacks", US_national_yearly!$D:$AM, 36, FALSE) / VLOOKUP("transport|SO2|Non-fatal heart attacks", US_national_yearly!$D:$AM, 10, FALSE), 1)</f>
        <v>8.2722104632749743E-3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4.8128736641102394</v>
      </c>
      <c r="C14" s="7">
        <f>$B14 * IFERROR(VLOOKUP("transport|SO2|Minor restricted activity days", US_national_yearly!$D:$AM, 11, FALSE) / VLOOKUP("transport|SO2|Minor restricted activity days", US_national_yearly!$D:$AM, 10, FALSE), 1)</f>
        <v>4.8250053150049075</v>
      </c>
      <c r="D14" s="7">
        <f>$B14 * IFERROR(VLOOKUP("transport|SO2|Minor restricted activity days", US_national_yearly!$D:$AM, 12, FALSE) / VLOOKUP("transport|SO2|Minor restricted activity days", US_national_yearly!$D:$AM, 10, FALSE), 1)</f>
        <v>4.8371369658995746</v>
      </c>
      <c r="E14" s="7">
        <f>$B14 * IFERROR(VLOOKUP("transport|SO2|Minor restricted activity days", US_national_yearly!$D:$AM, 13, FALSE) / VLOOKUP("transport|SO2|Minor restricted activity days", US_national_yearly!$D:$AM, 10, FALSE), 1)</f>
        <v>4.8492686167942436</v>
      </c>
      <c r="F14" s="7">
        <f>$B14 * IFERROR(VLOOKUP("transport|SO2|Minor restricted activity days", US_national_yearly!$D:$AM, 14, FALSE) / VLOOKUP("transport|SO2|Minor restricted activity days", US_national_yearly!$D:$AM, 10, FALSE), 1)</f>
        <v>4.8614002676889108</v>
      </c>
      <c r="G14" s="7">
        <f>$B14 * IFERROR(VLOOKUP("transport|SO2|Minor restricted activity days", US_national_yearly!$D:$AM, 15, FALSE) / VLOOKUP("transport|SO2|Minor restricted activity days", US_national_yearly!$D:$AM, 10, FALSE), 1)</f>
        <v>4.8792568659858233</v>
      </c>
      <c r="H14" s="7">
        <f>$B14 * IFERROR(VLOOKUP("transport|SO2|Minor restricted activity days", US_national_yearly!$D:$AM, 16, FALSE) / VLOOKUP("transport|SO2|Minor restricted activity days", US_national_yearly!$D:$AM, 10, FALSE), 1)</f>
        <v>4.897113464282735</v>
      </c>
      <c r="I14" s="7">
        <f>$B14 * IFERROR(VLOOKUP("transport|SO2|Minor restricted activity days", US_national_yearly!$D:$AM, 17, FALSE) / VLOOKUP("transport|SO2|Minor restricted activity days", US_national_yearly!$D:$AM, 10, FALSE), 1)</f>
        <v>4.9275662282481472</v>
      </c>
      <c r="J14" s="7">
        <f>$B14 * IFERROR(VLOOKUP("transport|SO2|Minor restricted activity days", US_national_yearly!$D:$AM, 18, FALSE) / VLOOKUP("transport|SO2|Minor restricted activity days", US_national_yearly!$D:$AM, 10, FALSE), 1)</f>
        <v>4.9580189922135594</v>
      </c>
      <c r="K14" s="7">
        <f>$B14 * IFERROR(VLOOKUP("transport|SO2|Minor restricted activity days", US_national_yearly!$D:$AM, 19, FALSE) / VLOOKUP("transport|SO2|Minor restricted activity days", US_national_yearly!$D:$AM, 10, FALSE), 1)</f>
        <v>4.9884717561789724</v>
      </c>
      <c r="L14" s="7">
        <f>$B14 * IFERROR(VLOOKUP("transport|SO2|Minor restricted activity days", US_national_yearly!$D:$AM, 20, FALSE) / VLOOKUP("transport|SO2|Minor restricted activity days", US_national_yearly!$D:$AM, 10, FALSE), 1)</f>
        <v>5.0189245201443846</v>
      </c>
      <c r="M14" s="7">
        <f>$B14 * IFERROR(VLOOKUP("transport|SO2|Minor restricted activity days", US_national_yearly!$D:$AM, 21, FALSE) / VLOOKUP("transport|SO2|Minor restricted activity days", US_national_yearly!$D:$AM, 10, FALSE), 1)</f>
        <v>5.0493772841097968</v>
      </c>
      <c r="N14" s="7">
        <f>$B14 * IFERROR(VLOOKUP("transport|SO2|Minor restricted activity days", US_national_yearly!$D:$AM, 22, FALSE) / VLOOKUP("transport|SO2|Minor restricted activity days", US_national_yearly!$D:$AM, 10, FALSE), 1)</f>
        <v>5.0910317787950863</v>
      </c>
      <c r="O14" s="7">
        <f>$B14 * IFERROR(VLOOKUP("transport|SO2|Minor restricted activity days", US_national_yearly!$D:$AM, 23, FALSE) / VLOOKUP("transport|SO2|Minor restricted activity days", US_national_yearly!$D:$AM, 10, FALSE), 1)</f>
        <v>5.1326862734803749</v>
      </c>
      <c r="P14" s="7">
        <f>$B14 * IFERROR(VLOOKUP("transport|SO2|Minor restricted activity days", US_national_yearly!$D:$AM, 24, FALSE) / VLOOKUP("transport|SO2|Minor restricted activity days", US_national_yearly!$D:$AM, 10, FALSE), 1)</f>
        <v>5.1743407681656635</v>
      </c>
      <c r="Q14" s="7">
        <f>$B14 * IFERROR(VLOOKUP("transport|SO2|Minor restricted activity days", US_national_yearly!$D:$AM, 25, FALSE) / VLOOKUP("transport|SO2|Minor restricted activity days", US_national_yearly!$D:$AM, 10, FALSE), 1)</f>
        <v>5.2159952628509521</v>
      </c>
      <c r="R14" s="7">
        <f>$B14 * IFERROR(VLOOKUP("transport|SO2|Minor restricted activity days", US_national_yearly!$D:$AM, 26, FALSE) / VLOOKUP("transport|SO2|Minor restricted activity days", US_national_yearly!$D:$AM, 10, FALSE), 1)</f>
        <v>5.2576497575362406</v>
      </c>
      <c r="S14" s="7">
        <f>$B14 * IFERROR(VLOOKUP("transport|SO2|Minor restricted activity days", US_national_yearly!$D:$AM, 27, FALSE) / VLOOKUP("transport|SO2|Minor restricted activity days", US_national_yearly!$D:$AM, 10, FALSE), 1)</f>
        <v>5.3001205917567766</v>
      </c>
      <c r="T14" s="7">
        <f>$B14 * IFERROR(VLOOKUP("transport|SO2|Minor restricted activity days", US_national_yearly!$D:$AM, 28, FALSE) / VLOOKUP("transport|SO2|Minor restricted activity days", US_national_yearly!$D:$AM, 10, FALSE), 1)</f>
        <v>5.3425914259773117</v>
      </c>
      <c r="U14" s="7">
        <f>$B14 * IFERROR(VLOOKUP("transport|SO2|Minor restricted activity days", US_national_yearly!$D:$AM, 29, FALSE) / VLOOKUP("transport|SO2|Minor restricted activity days", US_national_yearly!$D:$AM, 10, FALSE), 1)</f>
        <v>5.3850622601978477</v>
      </c>
      <c r="V14" s="7">
        <f>$B14 * IFERROR(VLOOKUP("transport|SO2|Minor restricted activity days", US_national_yearly!$D:$AM, 30, FALSE) / VLOOKUP("transport|SO2|Minor restricted activity days", US_national_yearly!$D:$AM, 10, FALSE), 1)</f>
        <v>5.4275330944183828</v>
      </c>
      <c r="W14" s="7">
        <f>$B14 * IFERROR(VLOOKUP("transport|SO2|Minor restricted activity days", US_national_yearly!$D:$AM, 31, FALSE) / VLOOKUP("transport|SO2|Minor restricted activity days", US_national_yearly!$D:$AM, 10, FALSE), 1)</f>
        <v>5.4700039286389197</v>
      </c>
      <c r="X14" s="7">
        <f>$B14 * IFERROR(VLOOKUP("transport|SO2|Minor restricted activity days", US_national_yearly!$D:$AM, 32, FALSE) / VLOOKUP("transport|SO2|Minor restricted activity days", US_national_yearly!$D:$AM, 10, FALSE), 1)</f>
        <v>5.50735364288537</v>
      </c>
      <c r="Y14" s="7">
        <f>$B14 * IFERROR(VLOOKUP("transport|SO2|Minor restricted activity days", US_national_yearly!$D:$AM, 33, FALSE) / VLOOKUP("transport|SO2|Minor restricted activity days", US_national_yearly!$D:$AM, 10, FALSE), 1)</f>
        <v>5.5447033571318203</v>
      </c>
      <c r="Z14" s="7">
        <f>$B14 * IFERROR(VLOOKUP("transport|SO2|Minor restricted activity days", US_national_yearly!$D:$AM, 34, FALSE) / VLOOKUP("transport|SO2|Minor restricted activity days", US_national_yearly!$D:$AM, 10, FALSE), 1)</f>
        <v>5.5820530713782706</v>
      </c>
      <c r="AA14" s="7">
        <f>$B14 * IFERROR(VLOOKUP("transport|SO2|Minor restricted activity days", US_national_yearly!$D:$AM, 35, FALSE) / VLOOKUP("transport|SO2|Minor restricted activity days", US_national_yearly!$D:$AM, 10, FALSE), 1)</f>
        <v>5.6194027856247208</v>
      </c>
      <c r="AB14" s="7">
        <f>$B14 * IFERROR(VLOOKUP("transport|SO2|Minor restricted activity days", US_national_yearly!$D:$AM, 36, FALSE) / VLOOKUP("transport|SO2|Minor restricted activity days", US_national_yearly!$D:$AM, 10, FALSE), 1)</f>
        <v>5.656752499871172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0.8206634815910494</v>
      </c>
      <c r="C15" s="7">
        <f>$B15 * IFERROR(VLOOKUP("transport|SO2|Work loss days", US_national_yearly!$D:$AM, 11, FALSE) / VLOOKUP("transport|SO2|Work loss days", US_national_yearly!$D:$AM, 10, FALSE), 1)</f>
        <v>0.82332230083848135</v>
      </c>
      <c r="D15" s="7">
        <f>$B15 * IFERROR(VLOOKUP("transport|SO2|Work loss days", US_national_yearly!$D:$AM, 12, FALSE) / VLOOKUP("transport|SO2|Work loss days", US_national_yearly!$D:$AM, 10, FALSE), 1)</f>
        <v>0.8259811200859134</v>
      </c>
      <c r="E15" s="7">
        <f>$B15 * IFERROR(VLOOKUP("transport|SO2|Work loss days", US_national_yearly!$D:$AM, 13, FALSE) / VLOOKUP("transport|SO2|Work loss days", US_national_yearly!$D:$AM, 10, FALSE), 1)</f>
        <v>0.82863993933334534</v>
      </c>
      <c r="F15" s="7">
        <f>$B15 * IFERROR(VLOOKUP("transport|SO2|Work loss days", US_national_yearly!$D:$AM, 14, FALSE) / VLOOKUP("transport|SO2|Work loss days", US_national_yearly!$D:$AM, 10, FALSE), 1)</f>
        <v>0.8312987585807774</v>
      </c>
      <c r="G15" s="7">
        <f>$B15 * IFERROR(VLOOKUP("transport|SO2|Work loss days", US_national_yearly!$D:$AM, 15, FALSE) / VLOOKUP("transport|SO2|Work loss days", US_national_yearly!$D:$AM, 10, FALSE), 1)</f>
        <v>0.83477283125487578</v>
      </c>
      <c r="H15" s="7">
        <f>$B15 * IFERROR(VLOOKUP("transport|SO2|Work loss days", US_national_yearly!$D:$AM, 16, FALSE) / VLOOKUP("transport|SO2|Work loss days", US_national_yearly!$D:$AM, 10, FALSE), 1)</f>
        <v>0.83824690392897394</v>
      </c>
      <c r="I15" s="7">
        <f>$B15 * IFERROR(VLOOKUP("transport|SO2|Work loss days", US_national_yearly!$D:$AM, 17, FALSE) / VLOOKUP("transport|SO2|Work loss days", US_national_yearly!$D:$AM, 10, FALSE), 1)</f>
        <v>0.84332900589056858</v>
      </c>
      <c r="J15" s="7">
        <f>$B15 * IFERROR(VLOOKUP("transport|SO2|Work loss days", US_national_yearly!$D:$AM, 18, FALSE) / VLOOKUP("transport|SO2|Work loss days", US_national_yearly!$D:$AM, 10, FALSE), 1)</f>
        <v>0.848411107852163</v>
      </c>
      <c r="K15" s="7">
        <f>$B15 * IFERROR(VLOOKUP("transport|SO2|Work loss days", US_national_yearly!$D:$AM, 19, FALSE) / VLOOKUP("transport|SO2|Work loss days", US_national_yearly!$D:$AM, 10, FALSE), 1)</f>
        <v>0.85349320981375765</v>
      </c>
      <c r="L15" s="7">
        <f>$B15 * IFERROR(VLOOKUP("transport|SO2|Work loss days", US_national_yearly!$D:$AM, 20, FALSE) / VLOOKUP("transport|SO2|Work loss days", US_national_yearly!$D:$AM, 10, FALSE), 1)</f>
        <v>0.85857531177535229</v>
      </c>
      <c r="M15" s="7">
        <f>$B15 * IFERROR(VLOOKUP("transport|SO2|Work loss days", US_national_yearly!$D:$AM, 21, FALSE) / VLOOKUP("transport|SO2|Work loss days", US_national_yearly!$D:$AM, 10, FALSE), 1)</f>
        <v>0.86365741373694693</v>
      </c>
      <c r="N15" s="7">
        <f>$B15 * IFERROR(VLOOKUP("transport|SO2|Work loss days", US_national_yearly!$D:$AM, 22, FALSE) / VLOOKUP("transport|SO2|Work loss days", US_national_yearly!$D:$AM, 10, FALSE), 1)</f>
        <v>0.87002954603922544</v>
      </c>
      <c r="O15" s="7">
        <f>$B15 * IFERROR(VLOOKUP("transport|SO2|Work loss days", US_national_yearly!$D:$AM, 23, FALSE) / VLOOKUP("transport|SO2|Work loss days", US_national_yearly!$D:$AM, 10, FALSE), 1)</f>
        <v>0.87640167834150395</v>
      </c>
      <c r="P15" s="7">
        <f>$B15 * IFERROR(VLOOKUP("transport|SO2|Work loss days", US_national_yearly!$D:$AM, 24, FALSE) / VLOOKUP("transport|SO2|Work loss days", US_national_yearly!$D:$AM, 10, FALSE), 1)</f>
        <v>0.88277381064378235</v>
      </c>
      <c r="Q15" s="7">
        <f>$B15 * IFERROR(VLOOKUP("transport|SO2|Work loss days", US_national_yearly!$D:$AM, 25, FALSE) / VLOOKUP("transport|SO2|Work loss days", US_national_yearly!$D:$AM, 10, FALSE), 1)</f>
        <v>0.88914594294606097</v>
      </c>
      <c r="R15" s="7">
        <f>$B15 * IFERROR(VLOOKUP("transport|SO2|Work loss days", US_national_yearly!$D:$AM, 26, FALSE) / VLOOKUP("transport|SO2|Work loss days", US_national_yearly!$D:$AM, 10, FALSE), 1)</f>
        <v>0.89551807524833948</v>
      </c>
      <c r="S15" s="7">
        <f>$B15 * IFERROR(VLOOKUP("transport|SO2|Work loss days", US_national_yearly!$D:$AM, 27, FALSE) / VLOOKUP("transport|SO2|Work loss days", US_national_yearly!$D:$AM, 10, FALSE), 1)</f>
        <v>0.90263891208748381</v>
      </c>
      <c r="T15" s="7">
        <f>$B15 * IFERROR(VLOOKUP("transport|SO2|Work loss days", US_national_yearly!$D:$AM, 28, FALSE) / VLOOKUP("transport|SO2|Work loss days", US_national_yearly!$D:$AM, 10, FALSE), 1)</f>
        <v>0.90975974892662836</v>
      </c>
      <c r="U15" s="7">
        <f>$B15 * IFERROR(VLOOKUP("transport|SO2|Work loss days", US_national_yearly!$D:$AM, 29, FALSE) / VLOOKUP("transport|SO2|Work loss days", US_national_yearly!$D:$AM, 10, FALSE), 1)</f>
        <v>0.9168805857657728</v>
      </c>
      <c r="V15" s="7">
        <f>$B15 * IFERROR(VLOOKUP("transport|SO2|Work loss days", US_national_yearly!$D:$AM, 30, FALSE) / VLOOKUP("transport|SO2|Work loss days", US_national_yearly!$D:$AM, 10, FALSE), 1)</f>
        <v>0.92400142260491713</v>
      </c>
      <c r="W15" s="7">
        <f>$B15 * IFERROR(VLOOKUP("transport|SO2|Work loss days", US_national_yearly!$D:$AM, 31, FALSE) / VLOOKUP("transport|SO2|Work loss days", US_national_yearly!$D:$AM, 10, FALSE), 1)</f>
        <v>0.93112225944406168</v>
      </c>
      <c r="X15" s="7">
        <f>$B15 * IFERROR(VLOOKUP("transport|SO2|Work loss days", US_national_yearly!$D:$AM, 32, FALSE) / VLOOKUP("transport|SO2|Work loss days", US_national_yearly!$D:$AM, 10, FALSE), 1)</f>
        <v>0.93751578941356484</v>
      </c>
      <c r="Y15" s="7">
        <f>$B15 * IFERROR(VLOOKUP("transport|SO2|Work loss days", US_national_yearly!$D:$AM, 33, FALSE) / VLOOKUP("transport|SO2|Work loss days", US_national_yearly!$D:$AM, 10, FALSE), 1)</f>
        <v>0.9439093193830681</v>
      </c>
      <c r="Z15" s="7">
        <f>$B15 * IFERROR(VLOOKUP("transport|SO2|Work loss days", US_national_yearly!$D:$AM, 34, FALSE) / VLOOKUP("transport|SO2|Work loss days", US_national_yearly!$D:$AM, 10, FALSE), 1)</f>
        <v>0.95030284935257137</v>
      </c>
      <c r="AA15" s="7">
        <f>$B15 * IFERROR(VLOOKUP("transport|SO2|Work loss days", US_national_yearly!$D:$AM, 35, FALSE) / VLOOKUP("transport|SO2|Work loss days", US_national_yearly!$D:$AM, 10, FALSE), 1)</f>
        <v>0.95669637932207463</v>
      </c>
      <c r="AB15" s="7">
        <f>$B15 * IFERROR(VLOOKUP("transport|SO2|Work loss days", US_national_yearly!$D:$AM, 36, FALSE) / VLOOKUP("transport|SO2|Work loss days", US_national_yearly!$D:$AM, 10, FALSE), 1)</f>
        <v>0.96308990929157789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1.3836043425815667E-3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1.4254498363058257E-3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1.4672953300300846E-3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1.5091408237543433E-3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1.5509863174786027E-3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1.5910703215819097E-3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1.6311543256852172E-3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1.6654984948766363E-3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1.6998426640680553E-3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1.7341868332594744E-3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1.7685310024508935E-3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1.8028751716423123E-3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1.8259466300884924E-3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1.8490180885346722E-3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1.8720895469808518E-3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1.8951610054270317E-3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1.9182324638732117E-3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1.9303664083265267E-3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1.9425003527798416E-3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1.9546342972331563E-3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1.9667682416864714E-3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1.9789021861397861E-3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1.9870481041688545E-3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1.9951940221979224E-3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2.0033399402269907E-3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2.011485858256059E-3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2.0196317762851269E-3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3.1288839509540436E-2</v>
      </c>
      <c r="C2" s="7">
        <f>$B2 * IFERROR(VLOOKUP("electricity|PM25|Premature mortality", US_national_yearly!$D:$AM, 11, FALSE) / VLOOKUP("electricity|PM25|Premature mortality", US_national_yearly!$D:$AM, 10, FALSE), 1)</f>
        <v>3.167639051424475E-2</v>
      </c>
      <c r="D2" s="7">
        <f>$B2 * IFERROR(VLOOKUP("electricity|PM25|Premature mortality", US_national_yearly!$D:$AM, 12, FALSE) / VLOOKUP("electricity|PM25|Premature mortality", US_national_yearly!$D:$AM, 10, FALSE), 1)</f>
        <v>3.2063941518949063E-2</v>
      </c>
      <c r="E2" s="7">
        <f>$B2 * IFERROR(VLOOKUP("electricity|PM25|Premature mortality", US_national_yearly!$D:$AM, 13, FALSE) / VLOOKUP("electricity|PM25|Premature mortality", US_national_yearly!$D:$AM, 10, FALSE), 1)</f>
        <v>3.2451492523653369E-2</v>
      </c>
      <c r="F2" s="7">
        <f>$B2 * IFERROR(VLOOKUP("electricity|PM25|Premature mortality", US_national_yearly!$D:$AM, 14, FALSE) / VLOOKUP("electricity|PM25|Premature mortality", US_national_yearly!$D:$AM, 10, FALSE), 1)</f>
        <v>3.2839043528357689E-2</v>
      </c>
      <c r="G2" s="7">
        <f>$B2 * IFERROR(VLOOKUP("electricity|PM25|Premature mortality", US_national_yearly!$D:$AM, 15, FALSE) / VLOOKUP("electricity|PM25|Premature mortality", US_national_yearly!$D:$AM, 10, FALSE), 1)</f>
        <v>3.3600214312208554E-2</v>
      </c>
      <c r="H2" s="7">
        <f>$B2 * IFERROR(VLOOKUP("electricity|PM25|Premature mortality", US_national_yearly!$D:$AM, 16, FALSE) / VLOOKUP("electricity|PM25|Premature mortality", US_national_yearly!$D:$AM, 10, FALSE), 1)</f>
        <v>3.4361385096059426E-2</v>
      </c>
      <c r="I2" s="7">
        <f>$B2 * IFERROR(VLOOKUP("electricity|PM25|Premature mortality", US_national_yearly!$D:$AM, 17, FALSE) / VLOOKUP("electricity|PM25|Premature mortality", US_national_yearly!$D:$AM, 10, FALSE), 1)</f>
        <v>3.4872822211397196E-2</v>
      </c>
      <c r="J2" s="7">
        <f>$B2 * IFERROR(VLOOKUP("electricity|PM25|Premature mortality", US_national_yearly!$D:$AM, 18, FALSE) / VLOOKUP("electricity|PM25|Premature mortality", US_national_yearly!$D:$AM, 10, FALSE), 1)</f>
        <v>3.5384259326734981E-2</v>
      </c>
      <c r="K2" s="7">
        <f>$B2 * IFERROR(VLOOKUP("electricity|PM25|Premature mortality", US_national_yearly!$D:$AM, 19, FALSE) / VLOOKUP("electricity|PM25|Premature mortality", US_national_yearly!$D:$AM, 10, FALSE), 1)</f>
        <v>3.5895696442072751E-2</v>
      </c>
      <c r="L2" s="7">
        <f>$B2 * IFERROR(VLOOKUP("electricity|PM25|Premature mortality", US_national_yearly!$D:$AM, 20, FALSE) / VLOOKUP("electricity|PM25|Premature mortality", US_national_yearly!$D:$AM, 10, FALSE), 1)</f>
        <v>3.6407133557410529E-2</v>
      </c>
      <c r="M2" s="7">
        <f>$B2 * IFERROR(VLOOKUP("electricity|PM25|Premature mortality", US_national_yearly!$D:$AM, 21, FALSE) / VLOOKUP("electricity|PM25|Premature mortality", US_national_yearly!$D:$AM, 10, FALSE), 1)</f>
        <v>3.6918570672748306E-2</v>
      </c>
      <c r="N2" s="7">
        <f>$B2 * IFERROR(VLOOKUP("electricity|PM25|Premature mortality", US_national_yearly!$D:$AM, 22, FALSE) / VLOOKUP("electricity|PM25|Premature mortality", US_national_yearly!$D:$AM, 10, FALSE), 1)</f>
        <v>3.7326243956793015E-2</v>
      </c>
      <c r="O2" s="7">
        <f>$B2 * IFERROR(VLOOKUP("electricity|PM25|Premature mortality", US_national_yearly!$D:$AM, 23, FALSE) / VLOOKUP("electricity|PM25|Premature mortality", US_national_yearly!$D:$AM, 10, FALSE), 1)</f>
        <v>3.7733917240837717E-2</v>
      </c>
      <c r="P2" s="7">
        <f>$B2 * IFERROR(VLOOKUP("electricity|PM25|Premature mortality", US_national_yearly!$D:$AM, 24, FALSE) / VLOOKUP("electricity|PM25|Premature mortality", US_national_yearly!$D:$AM, 10, FALSE), 1)</f>
        <v>3.8141590524882425E-2</v>
      </c>
      <c r="Q2" s="7">
        <f>$B2 * IFERROR(VLOOKUP("electricity|PM25|Premature mortality", US_national_yearly!$D:$AM, 25, FALSE) / VLOOKUP("electricity|PM25|Premature mortality", US_national_yearly!$D:$AM, 10, FALSE), 1)</f>
        <v>3.8549263808927127E-2</v>
      </c>
      <c r="R2" s="7">
        <f>$B2 * IFERROR(VLOOKUP("electricity|PM25|Premature mortality", US_national_yearly!$D:$AM, 26, FALSE) / VLOOKUP("electricity|PM25|Premature mortality", US_national_yearly!$D:$AM, 10, FALSE), 1)</f>
        <v>3.8956937092971836E-2</v>
      </c>
      <c r="S2" s="7">
        <f>$B2 * IFERROR(VLOOKUP("electricity|PM25|Premature mortality", US_national_yearly!$D:$AM, 27, FALSE) / VLOOKUP("electricity|PM25|Premature mortality", US_national_yearly!$D:$AM, 10, FALSE), 1)</f>
        <v>3.9190209931128352E-2</v>
      </c>
      <c r="T2" s="7">
        <f>$B2 * IFERROR(VLOOKUP("electricity|PM25|Premature mortality", US_national_yearly!$D:$AM, 28, FALSE) / VLOOKUP("electricity|PM25|Premature mortality", US_national_yearly!$D:$AM, 10, FALSE), 1)</f>
        <v>3.9423482769284854E-2</v>
      </c>
      <c r="U2" s="7">
        <f>$B2 * IFERROR(VLOOKUP("electricity|PM25|Premature mortality", US_national_yearly!$D:$AM, 29, FALSE) / VLOOKUP("electricity|PM25|Premature mortality", US_national_yearly!$D:$AM, 10, FALSE), 1)</f>
        <v>3.9656755607441377E-2</v>
      </c>
      <c r="V2" s="7">
        <f>$B2 * IFERROR(VLOOKUP("electricity|PM25|Premature mortality", US_national_yearly!$D:$AM, 30, FALSE) / VLOOKUP("electricity|PM25|Premature mortality", US_national_yearly!$D:$AM, 10, FALSE), 1)</f>
        <v>3.9890028445597879E-2</v>
      </c>
      <c r="W2" s="7">
        <f>$B2 * IFERROR(VLOOKUP("electricity|PM25|Premature mortality", US_national_yearly!$D:$AM, 31, FALSE) / VLOOKUP("electricity|PM25|Premature mortality", US_national_yearly!$D:$AM, 10, FALSE), 1)</f>
        <v>4.0123301283754395E-2</v>
      </c>
      <c r="X2" s="7">
        <f>$B2 * IFERROR(VLOOKUP("electricity|PM25|Premature mortality", US_national_yearly!$D:$AM, 32, FALSE) / VLOOKUP("electricity|PM25|Premature mortality", US_national_yearly!$D:$AM, 10, FALSE), 1)</f>
        <v>4.0188102969947105E-2</v>
      </c>
      <c r="Y2" s="7">
        <f>$B2 * IFERROR(VLOOKUP("electricity|PM25|Premature mortality", US_national_yearly!$D:$AM, 33, FALSE) / VLOOKUP("electricity|PM25|Premature mortality", US_national_yearly!$D:$AM, 10, FALSE), 1)</f>
        <v>4.0252904656139815E-2</v>
      </c>
      <c r="Z2" s="7">
        <f>$B2 * IFERROR(VLOOKUP("electricity|PM25|Premature mortality", US_national_yearly!$D:$AM, 34, FALSE) / VLOOKUP("electricity|PM25|Premature mortality", US_national_yearly!$D:$AM, 10, FALSE), 1)</f>
        <v>4.0317706342332525E-2</v>
      </c>
      <c r="AA2" s="7">
        <f>$B2 * IFERROR(VLOOKUP("electricity|PM25|Premature mortality", US_national_yearly!$D:$AM, 35, FALSE) / VLOOKUP("electricity|PM25|Premature mortality", US_national_yearly!$D:$AM, 10, FALSE), 1)</f>
        <v>4.0382508028525249E-2</v>
      </c>
      <c r="AB2" s="7">
        <f>$B2 * IFERROR(VLOOKUP("electricity|PM25|Premature mortality", US_national_yearly!$D:$AM, 36, FALSE) / VLOOKUP("electricity|PM25|Premature mortality", US_national_yearly!$D:$AM, 10, FALSE), 1)</f>
        <v>4.0447309714717959E-2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6.5017406286147376E-5</v>
      </c>
      <c r="C3" s="7">
        <f>$B3 * IFERROR(VLOOKUP("electricity|PM25|Infant mortality", US_national_yearly!$D:$AM, 11, FALSE) / VLOOKUP("electricity|PM25|Infant mortality", US_national_yearly!$D:$AM, 10, FALSE), 1)</f>
        <v>6.4450909788947935E-5</v>
      </c>
      <c r="D3" s="7">
        <f>$B3 * IFERROR(VLOOKUP("electricity|PM25|Infant mortality", US_national_yearly!$D:$AM, 12, FALSE) / VLOOKUP("electricity|PM25|Infant mortality", US_national_yearly!$D:$AM, 10, FALSE), 1)</f>
        <v>6.3884413291748522E-5</v>
      </c>
      <c r="E3" s="7">
        <f>$B3 * IFERROR(VLOOKUP("electricity|PM25|Infant mortality", US_national_yearly!$D:$AM, 13, FALSE) / VLOOKUP("electricity|PM25|Infant mortality", US_national_yearly!$D:$AM, 10, FALSE), 1)</f>
        <v>6.3317916794549081E-5</v>
      </c>
      <c r="F3" s="7">
        <f>$B3 * IFERROR(VLOOKUP("electricity|PM25|Infant mortality", US_national_yearly!$D:$AM, 14, FALSE) / VLOOKUP("electricity|PM25|Infant mortality", US_national_yearly!$D:$AM, 10, FALSE), 1)</f>
        <v>6.2751420297349654E-5</v>
      </c>
      <c r="G3" s="7">
        <f>$B3 * IFERROR(VLOOKUP("electricity|PM25|Infant mortality", US_national_yearly!$D:$AM, 15, FALSE) / VLOOKUP("electricity|PM25|Infant mortality", US_national_yearly!$D:$AM, 10, FALSE), 1)</f>
        <v>4.1614786078849601E-5</v>
      </c>
      <c r="H3" s="7">
        <f>$B3 * IFERROR(VLOOKUP("electricity|PM25|Infant mortality", US_national_yearly!$D:$AM, 16, FALSE) / VLOOKUP("electricity|PM25|Infant mortality", US_national_yearly!$D:$AM, 10, FALSE), 1)</f>
        <v>2.0478151860349548E-5</v>
      </c>
      <c r="I3" s="7">
        <f>$B3 * IFERROR(VLOOKUP("electricity|PM25|Infant mortality", US_national_yearly!$D:$AM, 17, FALSE) / VLOOKUP("electricity|PM25|Infant mortality", US_national_yearly!$D:$AM, 10, FALSE), 1)</f>
        <v>2.033356672462794E-5</v>
      </c>
      <c r="J3" s="7">
        <f>$B3 * IFERROR(VLOOKUP("electricity|PM25|Infant mortality", US_national_yearly!$D:$AM, 18, FALSE) / VLOOKUP("electricity|PM25|Infant mortality", US_national_yearly!$D:$AM, 10, FALSE), 1)</f>
        <v>2.0188981588906339E-5</v>
      </c>
      <c r="K3" s="7">
        <f>$B3 * IFERROR(VLOOKUP("electricity|PM25|Infant mortality", US_national_yearly!$D:$AM, 19, FALSE) / VLOOKUP("electricity|PM25|Infant mortality", US_national_yearly!$D:$AM, 10, FALSE), 1)</f>
        <v>2.0044396453184731E-5</v>
      </c>
      <c r="L3" s="7">
        <f>$B3 * IFERROR(VLOOKUP("electricity|PM25|Infant mortality", US_national_yearly!$D:$AM, 20, FALSE) / VLOOKUP("electricity|PM25|Infant mortality", US_national_yearly!$D:$AM, 10, FALSE), 1)</f>
        <v>1.9899811317463126E-5</v>
      </c>
      <c r="M3" s="7">
        <f>$B3 * IFERROR(VLOOKUP("electricity|PM25|Infant mortality", US_national_yearly!$D:$AM, 21, FALSE) / VLOOKUP("electricity|PM25|Infant mortality", US_national_yearly!$D:$AM, 10, FALSE), 1)</f>
        <v>1.9755226181741522E-5</v>
      </c>
      <c r="N3" s="7">
        <f>$B3 * IFERROR(VLOOKUP("electricity|PM25|Infant mortality", US_national_yearly!$D:$AM, 22, FALSE) / VLOOKUP("electricity|PM25|Infant mortality", US_national_yearly!$D:$AM, 10, FALSE), 1)</f>
        <v>1.9662238743237476E-5</v>
      </c>
      <c r="O3" s="7">
        <f>$B3 * IFERROR(VLOOKUP("electricity|PM25|Infant mortality", US_national_yearly!$D:$AM, 23, FALSE) / VLOOKUP("electricity|PM25|Infant mortality", US_national_yearly!$D:$AM, 10, FALSE), 1)</f>
        <v>1.9569251304733427E-5</v>
      </c>
      <c r="P3" s="7">
        <f>$B3 * IFERROR(VLOOKUP("electricity|PM25|Infant mortality", US_national_yearly!$D:$AM, 24, FALSE) / VLOOKUP("electricity|PM25|Infant mortality", US_national_yearly!$D:$AM, 10, FALSE), 1)</f>
        <v>1.9476263866229374E-5</v>
      </c>
      <c r="Q3" s="7">
        <f>$B3 * IFERROR(VLOOKUP("electricity|PM25|Infant mortality", US_national_yearly!$D:$AM, 25, FALSE) / VLOOKUP("electricity|PM25|Infant mortality", US_national_yearly!$D:$AM, 10, FALSE), 1)</f>
        <v>1.9383276427725328E-5</v>
      </c>
      <c r="R3" s="7">
        <f>$B3 * IFERROR(VLOOKUP("electricity|PM25|Infant mortality", US_national_yearly!$D:$AM, 26, FALSE) / VLOOKUP("electricity|PM25|Infant mortality", US_national_yearly!$D:$AM, 10, FALSE), 1)</f>
        <v>1.9290288989221276E-5</v>
      </c>
      <c r="S3" s="7">
        <f>$B3 * IFERROR(VLOOKUP("electricity|PM25|Infant mortality", US_national_yearly!$D:$AM, 27, FALSE) / VLOOKUP("electricity|PM25|Infant mortality", US_national_yearly!$D:$AM, 10, FALSE), 1)</f>
        <v>1.9178887959948038E-5</v>
      </c>
      <c r="T3" s="7">
        <f>$B3 * IFERROR(VLOOKUP("electricity|PM25|Infant mortality", US_national_yearly!$D:$AM, 28, FALSE) / VLOOKUP("electricity|PM25|Infant mortality", US_national_yearly!$D:$AM, 10, FALSE), 1)</f>
        <v>1.90674869306748E-5</v>
      </c>
      <c r="U3" s="7">
        <f>$B3 * IFERROR(VLOOKUP("electricity|PM25|Infant mortality", US_national_yearly!$D:$AM, 29, FALSE) / VLOOKUP("electricity|PM25|Infant mortality", US_national_yearly!$D:$AM, 10, FALSE), 1)</f>
        <v>1.8956085901401565E-5</v>
      </c>
      <c r="V3" s="7">
        <f>$B3 * IFERROR(VLOOKUP("electricity|PM25|Infant mortality", US_national_yearly!$D:$AM, 30, FALSE) / VLOOKUP("electricity|PM25|Infant mortality", US_national_yearly!$D:$AM, 10, FALSE), 1)</f>
        <v>1.8844684872128327E-5</v>
      </c>
      <c r="W3" s="7">
        <f>$B3 * IFERROR(VLOOKUP("electricity|PM25|Infant mortality", US_national_yearly!$D:$AM, 31, FALSE) / VLOOKUP("electricity|PM25|Infant mortality", US_national_yearly!$D:$AM, 10, FALSE), 1)</f>
        <v>1.8733283842855089E-5</v>
      </c>
      <c r="X3" s="7">
        <f>$B3 * IFERROR(VLOOKUP("electricity|PM25|Infant mortality", US_national_yearly!$D:$AM, 32, FALSE) / VLOOKUP("electricity|PM25|Infant mortality", US_national_yearly!$D:$AM, 10, FALSE), 1)</f>
        <v>1.8618164788155466E-5</v>
      </c>
      <c r="Y3" s="7">
        <f>$B3 * IFERROR(VLOOKUP("electricity|PM25|Infant mortality", US_national_yearly!$D:$AM, 33, FALSE) / VLOOKUP("electricity|PM25|Infant mortality", US_national_yearly!$D:$AM, 10, FALSE), 1)</f>
        <v>1.850304573345584E-5</v>
      </c>
      <c r="Z3" s="7">
        <f>$B3 * IFERROR(VLOOKUP("electricity|PM25|Infant mortality", US_national_yearly!$D:$AM, 34, FALSE) / VLOOKUP("electricity|PM25|Infant mortality", US_national_yearly!$D:$AM, 10, FALSE), 1)</f>
        <v>1.8387926678756217E-5</v>
      </c>
      <c r="AA3" s="7">
        <f>$B3 * IFERROR(VLOOKUP("electricity|PM25|Infant mortality", US_national_yearly!$D:$AM, 35, FALSE) / VLOOKUP("electricity|PM25|Infant mortality", US_national_yearly!$D:$AM, 10, FALSE), 1)</f>
        <v>1.8272807624056591E-5</v>
      </c>
      <c r="AB3" s="7">
        <f>$B3 * IFERROR(VLOOKUP("electricity|PM25|Infant mortality", US_national_yearly!$D:$AM, 36, FALSE) / VLOOKUP("electricity|PM25|Infant mortality", US_national_yearly!$D:$AM, 10, FALSE), 1)</f>
        <v>1.8157688569356968E-5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8.9239642767506511E-2</v>
      </c>
      <c r="C6" s="7">
        <f>$B6 * IFERROR(VLOOKUP("electricity|PM25|Asthma symptoms cough", US_national_yearly!$D:$AM, 11, FALSE) / VLOOKUP("electricity|PM25|Asthma symptoms cough", US_national_yearly!$D:$AM, 10, FALSE), 1)</f>
        <v>8.9239642767506511E-2</v>
      </c>
      <c r="D6" s="7">
        <f>$B6 * IFERROR(VLOOKUP("electricity|PM25|Asthma symptoms cough", US_national_yearly!$D:$AM, 12, FALSE) / VLOOKUP("electricity|PM25|Asthma symptoms cough", US_national_yearly!$D:$AM, 10, FALSE), 1)</f>
        <v>8.9239642767506511E-2</v>
      </c>
      <c r="E6" s="7">
        <f>$B6 * IFERROR(VLOOKUP("electricity|PM25|Asthma symptoms cough", US_national_yearly!$D:$AM, 13, FALSE) / VLOOKUP("electricity|PM25|Asthma symptoms cough", US_national_yearly!$D:$AM, 10, FALSE), 1)</f>
        <v>8.9239642767506511E-2</v>
      </c>
      <c r="F6" s="7">
        <f>$B6 * IFERROR(VLOOKUP("electricity|PM25|Asthma symptoms cough", US_national_yearly!$D:$AM, 14, FALSE) / VLOOKUP("electricity|PM25|Asthma symptoms cough", US_national_yearly!$D:$AM, 10, FALSE), 1)</f>
        <v>8.9239642767506511E-2</v>
      </c>
      <c r="G6" s="7">
        <f>$B6 * IFERROR(VLOOKUP("electricity|PM25|Asthma symptoms cough", US_national_yearly!$D:$AM, 15, FALSE) / VLOOKUP("electricity|PM25|Asthma symptoms cough", US_national_yearly!$D:$AM, 10, FALSE), 1)</f>
        <v>8.9239642767506511E-2</v>
      </c>
      <c r="H6" s="7">
        <f>$B6 * IFERROR(VLOOKUP("electricity|PM25|Asthma symptoms cough", US_national_yearly!$D:$AM, 16, FALSE) / VLOOKUP("electricity|PM25|Asthma symptoms cough", US_national_yearly!$D:$AM, 10, FALSE), 1)</f>
        <v>8.9239642767506511E-2</v>
      </c>
      <c r="I6" s="7">
        <f>$B6 * IFERROR(VLOOKUP("electricity|PM25|Asthma symptoms cough", US_national_yearly!$D:$AM, 17, FALSE) / VLOOKUP("electricity|PM25|Asthma symptoms cough", US_national_yearly!$D:$AM, 10, FALSE), 1)</f>
        <v>8.9239642767506511E-2</v>
      </c>
      <c r="J6" s="7">
        <f>$B6 * IFERROR(VLOOKUP("electricity|PM25|Asthma symptoms cough", US_national_yearly!$D:$AM, 18, FALSE) / VLOOKUP("electricity|PM25|Asthma symptoms cough", US_national_yearly!$D:$AM, 10, FALSE), 1)</f>
        <v>8.9239642767506511E-2</v>
      </c>
      <c r="K6" s="7">
        <f>$B6 * IFERROR(VLOOKUP("electricity|PM25|Asthma symptoms cough", US_national_yearly!$D:$AM, 19, FALSE) / VLOOKUP("electricity|PM25|Asthma symptoms cough", US_national_yearly!$D:$AM, 10, FALSE), 1)</f>
        <v>8.9239642767506511E-2</v>
      </c>
      <c r="L6" s="7">
        <f>$B6 * IFERROR(VLOOKUP("electricity|PM25|Asthma symptoms cough", US_national_yearly!$D:$AM, 20, FALSE) / VLOOKUP("electricity|PM25|Asthma symptoms cough", US_national_yearly!$D:$AM, 10, FALSE), 1)</f>
        <v>8.9239642767506511E-2</v>
      </c>
      <c r="M6" s="7">
        <f>$B6 * IFERROR(VLOOKUP("electricity|PM25|Asthma symptoms cough", US_national_yearly!$D:$AM, 21, FALSE) / VLOOKUP("electricity|PM25|Asthma symptoms cough", US_national_yearly!$D:$AM, 10, FALSE), 1)</f>
        <v>8.9239642767506511E-2</v>
      </c>
      <c r="N6" s="7">
        <f>$B6 * IFERROR(VLOOKUP("electricity|PM25|Asthma symptoms cough", US_national_yearly!$D:$AM, 22, FALSE) / VLOOKUP("electricity|PM25|Asthma symptoms cough", US_national_yearly!$D:$AM, 10, FALSE), 1)</f>
        <v>8.9239642767506511E-2</v>
      </c>
      <c r="O6" s="7">
        <f>$B6 * IFERROR(VLOOKUP("electricity|PM25|Asthma symptoms cough", US_national_yearly!$D:$AM, 23, FALSE) / VLOOKUP("electricity|PM25|Asthma symptoms cough", US_national_yearly!$D:$AM, 10, FALSE), 1)</f>
        <v>8.9239642767506511E-2</v>
      </c>
      <c r="P6" s="7">
        <f>$B6 * IFERROR(VLOOKUP("electricity|PM25|Asthma symptoms cough", US_national_yearly!$D:$AM, 24, FALSE) / VLOOKUP("electricity|PM25|Asthma symptoms cough", US_national_yearly!$D:$AM, 10, FALSE), 1)</f>
        <v>8.9239642767506511E-2</v>
      </c>
      <c r="Q6" s="7">
        <f>$B6 * IFERROR(VLOOKUP("electricity|PM25|Asthma symptoms cough", US_national_yearly!$D:$AM, 25, FALSE) / VLOOKUP("electricity|PM25|Asthma symptoms cough", US_national_yearly!$D:$AM, 10, FALSE), 1)</f>
        <v>8.9239642767506511E-2</v>
      </c>
      <c r="R6" s="7">
        <f>$B6 * IFERROR(VLOOKUP("electricity|PM25|Asthma symptoms cough", US_national_yearly!$D:$AM, 26, FALSE) / VLOOKUP("electricity|PM25|Asthma symptoms cough", US_national_yearly!$D:$AM, 10, FALSE), 1)</f>
        <v>8.9239642767506511E-2</v>
      </c>
      <c r="S6" s="7">
        <f>$B6 * IFERROR(VLOOKUP("electricity|PM25|Asthma symptoms cough", US_national_yearly!$D:$AM, 27, FALSE) / VLOOKUP("electricity|PM25|Asthma symptoms cough", US_national_yearly!$D:$AM, 10, FALSE), 1)</f>
        <v>8.9239642767506511E-2</v>
      </c>
      <c r="T6" s="7">
        <f>$B6 * IFERROR(VLOOKUP("electricity|PM25|Asthma symptoms cough", US_national_yearly!$D:$AM, 28, FALSE) / VLOOKUP("electricity|PM25|Asthma symptoms cough", US_national_yearly!$D:$AM, 10, FALSE), 1)</f>
        <v>8.9239642767506511E-2</v>
      </c>
      <c r="U6" s="7">
        <f>$B6 * IFERROR(VLOOKUP("electricity|PM25|Asthma symptoms cough", US_national_yearly!$D:$AM, 29, FALSE) / VLOOKUP("electricity|PM25|Asthma symptoms cough", US_national_yearly!$D:$AM, 10, FALSE), 1)</f>
        <v>8.9239642767506511E-2</v>
      </c>
      <c r="V6" s="7">
        <f>$B6 * IFERROR(VLOOKUP("electricity|PM25|Asthma symptoms cough", US_national_yearly!$D:$AM, 30, FALSE) / VLOOKUP("electricity|PM25|Asthma symptoms cough", US_national_yearly!$D:$AM, 10, FALSE), 1)</f>
        <v>8.9239642767506511E-2</v>
      </c>
      <c r="W6" s="7">
        <f>$B6 * IFERROR(VLOOKUP("electricity|PM25|Asthma symptoms cough", US_national_yearly!$D:$AM, 31, FALSE) / VLOOKUP("electricity|PM25|Asthma symptoms cough", US_national_yearly!$D:$AM, 10, FALSE), 1)</f>
        <v>8.9239642767506511E-2</v>
      </c>
      <c r="X6" s="7">
        <f>$B6 * IFERROR(VLOOKUP("electricity|PM25|Asthma symptoms cough", US_national_yearly!$D:$AM, 32, FALSE) / VLOOKUP("electricity|PM25|Asthma symptoms cough", US_national_yearly!$D:$AM, 10, FALSE), 1)</f>
        <v>8.9239642767506511E-2</v>
      </c>
      <c r="Y6" s="7">
        <f>$B6 * IFERROR(VLOOKUP("electricity|PM25|Asthma symptoms cough", US_national_yearly!$D:$AM, 33, FALSE) / VLOOKUP("electricity|PM25|Asthma symptoms cough", US_national_yearly!$D:$AM, 10, FALSE), 1)</f>
        <v>8.9239642767506511E-2</v>
      </c>
      <c r="Z6" s="7">
        <f>$B6 * IFERROR(VLOOKUP("electricity|PM25|Asthma symptoms cough", US_national_yearly!$D:$AM, 34, FALSE) / VLOOKUP("electricity|PM25|Asthma symptoms cough", US_national_yearly!$D:$AM, 10, FALSE), 1)</f>
        <v>8.9239642767506511E-2</v>
      </c>
      <c r="AA6" s="7">
        <f>$B6 * IFERROR(VLOOKUP("electricity|PM25|Asthma symptoms cough", US_national_yearly!$D:$AM, 35, FALSE) / VLOOKUP("electricity|PM25|Asthma symptoms cough", US_national_yearly!$D:$AM, 10, FALSE), 1)</f>
        <v>8.9239642767506511E-2</v>
      </c>
      <c r="AB6" s="7">
        <f>$B6 * IFERROR(VLOOKUP("electricity|PM25|Asthma symptoms cough", US_national_yearly!$D:$AM, 36, FALSE) / VLOOKUP("electricity|PM25|Asthma symptoms cough", US_national_yearly!$D:$AM, 10, FALSE), 1)</f>
        <v>8.9239642767506511E-2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0.12017350560562244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0.12017350560562244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0.12017350560562244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0.12017350560562244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0.12017350560562244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0.12017350560562244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0.12017350560562244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0.12017350560562244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0.12017350560562244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0.12017350560562244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0.12017350560562244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0.12017350560562244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0.12017350560562244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0.12017350560562244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0.12017350560562244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0.12017350560562244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0.12017350560562244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0.12017350560562244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0.12017350560562244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0.12017350560562244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0.12017350560562244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0.12017350560562244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0.12017350560562244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0.12017350560562244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0.12017350560562244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0.12017350560562244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0.12017350560562244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0.18360697010243607</v>
      </c>
      <c r="C8" s="7">
        <f>$B8 * IFERROR(VLOOKUP("electricity|PM25|Asthma symptoms wheeze", US_national_yearly!$D:$AM, 11, FALSE) / VLOOKUP("electricity|PM25|Asthma symptoms wheeze", US_national_yearly!$D:$AM, 10, FALSE), 1)</f>
        <v>0.18360697010243607</v>
      </c>
      <c r="D8" s="7">
        <f>$B8 * IFERROR(VLOOKUP("electricity|PM25|Asthma symptoms wheeze", US_national_yearly!$D:$AM, 12, FALSE) / VLOOKUP("electricity|PM25|Asthma symptoms wheeze", US_national_yearly!$D:$AM, 10, FALSE), 1)</f>
        <v>0.18360697010243607</v>
      </c>
      <c r="E8" s="7">
        <f>$B8 * IFERROR(VLOOKUP("electricity|PM25|Asthma symptoms wheeze", US_national_yearly!$D:$AM, 13, FALSE) / VLOOKUP("electricity|PM25|Asthma symptoms wheeze", US_national_yearly!$D:$AM, 10, FALSE), 1)</f>
        <v>0.18360697010243607</v>
      </c>
      <c r="F8" s="7">
        <f>$B8 * IFERROR(VLOOKUP("electricity|PM25|Asthma symptoms wheeze", US_national_yearly!$D:$AM, 14, FALSE) / VLOOKUP("electricity|PM25|Asthma symptoms wheeze", US_national_yearly!$D:$AM, 10, FALSE), 1)</f>
        <v>0.18360697010243607</v>
      </c>
      <c r="G8" s="7">
        <f>$B8 * IFERROR(VLOOKUP("electricity|PM25|Asthma symptoms wheeze", US_national_yearly!$D:$AM, 15, FALSE) / VLOOKUP("electricity|PM25|Asthma symptoms wheeze", US_national_yearly!$D:$AM, 10, FALSE), 1)</f>
        <v>0.18360697010243607</v>
      </c>
      <c r="H8" s="7">
        <f>$B8 * IFERROR(VLOOKUP("electricity|PM25|Asthma symptoms wheeze", US_national_yearly!$D:$AM, 16, FALSE) / VLOOKUP("electricity|PM25|Asthma symptoms wheeze", US_national_yearly!$D:$AM, 10, FALSE), 1)</f>
        <v>0.18360697010243607</v>
      </c>
      <c r="I8" s="7">
        <f>$B8 * IFERROR(VLOOKUP("electricity|PM25|Asthma symptoms wheeze", US_national_yearly!$D:$AM, 17, FALSE) / VLOOKUP("electricity|PM25|Asthma symptoms wheeze", US_national_yearly!$D:$AM, 10, FALSE), 1)</f>
        <v>0.18360697010243607</v>
      </c>
      <c r="J8" s="7">
        <f>$B8 * IFERROR(VLOOKUP("electricity|PM25|Asthma symptoms wheeze", US_national_yearly!$D:$AM, 18, FALSE) / VLOOKUP("electricity|PM25|Asthma symptoms wheeze", US_national_yearly!$D:$AM, 10, FALSE), 1)</f>
        <v>0.18360697010243607</v>
      </c>
      <c r="K8" s="7">
        <f>$B8 * IFERROR(VLOOKUP("electricity|PM25|Asthma symptoms wheeze", US_national_yearly!$D:$AM, 19, FALSE) / VLOOKUP("electricity|PM25|Asthma symptoms wheeze", US_national_yearly!$D:$AM, 10, FALSE), 1)</f>
        <v>0.18360697010243607</v>
      </c>
      <c r="L8" s="7">
        <f>$B8 * IFERROR(VLOOKUP("electricity|PM25|Asthma symptoms wheeze", US_national_yearly!$D:$AM, 20, FALSE) / VLOOKUP("electricity|PM25|Asthma symptoms wheeze", US_national_yearly!$D:$AM, 10, FALSE), 1)</f>
        <v>0.18360697010243607</v>
      </c>
      <c r="M8" s="7">
        <f>$B8 * IFERROR(VLOOKUP("electricity|PM25|Asthma symptoms wheeze", US_national_yearly!$D:$AM, 21, FALSE) / VLOOKUP("electricity|PM25|Asthma symptoms wheeze", US_national_yearly!$D:$AM, 10, FALSE), 1)</f>
        <v>0.18360697010243607</v>
      </c>
      <c r="N8" s="7">
        <f>$B8 * IFERROR(VLOOKUP("electricity|PM25|Asthma symptoms wheeze", US_national_yearly!$D:$AM, 22, FALSE) / VLOOKUP("electricity|PM25|Asthma symptoms wheeze", US_national_yearly!$D:$AM, 10, FALSE), 1)</f>
        <v>0.18360697010243607</v>
      </c>
      <c r="O8" s="7">
        <f>$B8 * IFERROR(VLOOKUP("electricity|PM25|Asthma symptoms wheeze", US_national_yearly!$D:$AM, 23, FALSE) / VLOOKUP("electricity|PM25|Asthma symptoms wheeze", US_national_yearly!$D:$AM, 10, FALSE), 1)</f>
        <v>0.18360697010243607</v>
      </c>
      <c r="P8" s="7">
        <f>$B8 * IFERROR(VLOOKUP("electricity|PM25|Asthma symptoms wheeze", US_national_yearly!$D:$AM, 24, FALSE) / VLOOKUP("electricity|PM25|Asthma symptoms wheeze", US_national_yearly!$D:$AM, 10, FALSE), 1)</f>
        <v>0.18360697010243607</v>
      </c>
      <c r="Q8" s="7">
        <f>$B8 * IFERROR(VLOOKUP("electricity|PM25|Asthma symptoms wheeze", US_national_yearly!$D:$AM, 25, FALSE) / VLOOKUP("electricity|PM25|Asthma symptoms wheeze", US_national_yearly!$D:$AM, 10, FALSE), 1)</f>
        <v>0.18360697010243607</v>
      </c>
      <c r="R8" s="7">
        <f>$B8 * IFERROR(VLOOKUP("electricity|PM25|Asthma symptoms wheeze", US_national_yearly!$D:$AM, 26, FALSE) / VLOOKUP("electricity|PM25|Asthma symptoms wheeze", US_national_yearly!$D:$AM, 10, FALSE), 1)</f>
        <v>0.18360697010243607</v>
      </c>
      <c r="S8" s="7">
        <f>$B8 * IFERROR(VLOOKUP("electricity|PM25|Asthma symptoms wheeze", US_national_yearly!$D:$AM, 27, FALSE) / VLOOKUP("electricity|PM25|Asthma symptoms wheeze", US_national_yearly!$D:$AM, 10, FALSE), 1)</f>
        <v>0.18360697010243607</v>
      </c>
      <c r="T8" s="7">
        <f>$B8 * IFERROR(VLOOKUP("electricity|PM25|Asthma symptoms wheeze", US_national_yearly!$D:$AM, 28, FALSE) / VLOOKUP("electricity|PM25|Asthma symptoms wheeze", US_national_yearly!$D:$AM, 10, FALSE), 1)</f>
        <v>0.18360697010243607</v>
      </c>
      <c r="U8" s="7">
        <f>$B8 * IFERROR(VLOOKUP("electricity|PM25|Asthma symptoms wheeze", US_national_yearly!$D:$AM, 29, FALSE) / VLOOKUP("electricity|PM25|Asthma symptoms wheeze", US_national_yearly!$D:$AM, 10, FALSE), 1)</f>
        <v>0.18360697010243607</v>
      </c>
      <c r="V8" s="7">
        <f>$B8 * IFERROR(VLOOKUP("electricity|PM25|Asthma symptoms wheeze", US_national_yearly!$D:$AM, 30, FALSE) / VLOOKUP("electricity|PM25|Asthma symptoms wheeze", US_national_yearly!$D:$AM, 10, FALSE), 1)</f>
        <v>0.18360697010243607</v>
      </c>
      <c r="W8" s="7">
        <f>$B8 * IFERROR(VLOOKUP("electricity|PM25|Asthma symptoms wheeze", US_national_yearly!$D:$AM, 31, FALSE) / VLOOKUP("electricity|PM25|Asthma symptoms wheeze", US_national_yearly!$D:$AM, 10, FALSE), 1)</f>
        <v>0.18360697010243607</v>
      </c>
      <c r="X8" s="7">
        <f>$B8 * IFERROR(VLOOKUP("electricity|PM25|Asthma symptoms wheeze", US_national_yearly!$D:$AM, 32, FALSE) / VLOOKUP("electricity|PM25|Asthma symptoms wheeze", US_national_yearly!$D:$AM, 10, FALSE), 1)</f>
        <v>0.18360697010243607</v>
      </c>
      <c r="Y8" s="7">
        <f>$B8 * IFERROR(VLOOKUP("electricity|PM25|Asthma symptoms wheeze", US_national_yearly!$D:$AM, 33, FALSE) / VLOOKUP("electricity|PM25|Asthma symptoms wheeze", US_national_yearly!$D:$AM, 10, FALSE), 1)</f>
        <v>0.18360697010243607</v>
      </c>
      <c r="Z8" s="7">
        <f>$B8 * IFERROR(VLOOKUP("electricity|PM25|Asthma symptoms wheeze", US_national_yearly!$D:$AM, 34, FALSE) / VLOOKUP("electricity|PM25|Asthma symptoms wheeze", US_national_yearly!$D:$AM, 10, FALSE), 1)</f>
        <v>0.18360697010243607</v>
      </c>
      <c r="AA8" s="7">
        <f>$B8 * IFERROR(VLOOKUP("electricity|PM25|Asthma symptoms wheeze", US_national_yearly!$D:$AM, 35, FALSE) / VLOOKUP("electricity|PM25|Asthma symptoms wheeze", US_national_yearly!$D:$AM, 10, FALSE), 1)</f>
        <v>0.18360697010243607</v>
      </c>
      <c r="AB8" s="7">
        <f>$B8 * IFERROR(VLOOKUP("electricity|PM25|Asthma symptoms wheeze", US_national_yearly!$D:$AM, 36, FALSE) / VLOOKUP("electricity|PM25|Asthma symptoms wheeze", US_national_yearly!$D:$AM, 10, FALSE), 1)</f>
        <v>0.18360697010243607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2.3653999104125628E-3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2.3783998603527463E-3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2.3913998102929289E-3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2.4043997602331128E-3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2.4173997101732958E-3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2.43133533696104E-3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2.4452709637487846E-3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2.4577210226350414E-3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2.4701710815212977E-3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2.4826211404075536E-3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2.4950711992938099E-3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2.5075212581800667E-3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2.5159192649920939E-3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2.5243172718041216E-3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2.5327152786161493E-3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2.5411132854281765E-3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2.5495112922402042E-3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2.5573370601122696E-3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2.5651628279843336E-3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2.5729885958563981E-3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2.5808143637284626E-3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2.5886401316005266E-3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2.5963783257219749E-3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2.6041165198434227E-3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2.6118547139648706E-3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2.6195929080863184E-3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2.6273311022077667E-3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1.4796209009467792E-2</v>
      </c>
      <c r="C13" s="7">
        <f>$B13 * IFERROR(VLOOKUP("electricity|PM25|Non-fatal heart attacks", US_national_yearly!$D:$AM, 11, FALSE) / VLOOKUP("electricity|PM25|Non-fatal heart attacks", US_national_yearly!$D:$AM, 10, FALSE), 1)</f>
        <v>1.5224778567074528E-2</v>
      </c>
      <c r="D13" s="7">
        <f>$B13 * IFERROR(VLOOKUP("electricity|PM25|Non-fatal heart attacks", US_national_yearly!$D:$AM, 12, FALSE) / VLOOKUP("electricity|PM25|Non-fatal heart attacks", US_national_yearly!$D:$AM, 10, FALSE), 1)</f>
        <v>1.5653348124681263E-2</v>
      </c>
      <c r="E13" s="7">
        <f>$B13 * IFERROR(VLOOKUP("electricity|PM25|Non-fatal heart attacks", US_national_yearly!$D:$AM, 13, FALSE) / VLOOKUP("electricity|PM25|Non-fatal heart attacks", US_national_yearly!$D:$AM, 10, FALSE), 1)</f>
        <v>1.6081917682287995E-2</v>
      </c>
      <c r="F13" s="7">
        <f>$B13 * IFERROR(VLOOKUP("electricity|PM25|Non-fatal heart attacks", US_national_yearly!$D:$AM, 14, FALSE) / VLOOKUP("electricity|PM25|Non-fatal heart attacks", US_national_yearly!$D:$AM, 10, FALSE), 1)</f>
        <v>1.651048723989473E-2</v>
      </c>
      <c r="G13" s="7">
        <f>$B13 * IFERROR(VLOOKUP("electricity|PM25|Non-fatal heart attacks", US_national_yearly!$D:$AM, 15, FALSE) / VLOOKUP("electricity|PM25|Non-fatal heart attacks", US_national_yearly!$D:$AM, 10, FALSE), 1)</f>
        <v>1.6917271319390716E-2</v>
      </c>
      <c r="H13" s="7">
        <f>$B13 * IFERROR(VLOOKUP("electricity|PM25|Non-fatal heart attacks", US_national_yearly!$D:$AM, 16, FALSE) / VLOOKUP("electricity|PM25|Non-fatal heart attacks", US_national_yearly!$D:$AM, 10, FALSE), 1)</f>
        <v>1.7324055398886703E-2</v>
      </c>
      <c r="I13" s="7">
        <f>$B13 * IFERROR(VLOOKUP("electricity|PM25|Non-fatal heart attacks", US_national_yearly!$D:$AM, 17, FALSE) / VLOOKUP("electricity|PM25|Non-fatal heart attacks", US_national_yearly!$D:$AM, 10, FALSE), 1)</f>
        <v>1.7655943184620507E-2</v>
      </c>
      <c r="J13" s="7">
        <f>$B13 * IFERROR(VLOOKUP("electricity|PM25|Non-fatal heart attacks", US_national_yearly!$D:$AM, 18, FALSE) / VLOOKUP("electricity|PM25|Non-fatal heart attacks", US_national_yearly!$D:$AM, 10, FALSE), 1)</f>
        <v>1.7987830970354314E-2</v>
      </c>
      <c r="K13" s="7">
        <f>$B13 * IFERROR(VLOOKUP("electricity|PM25|Non-fatal heart attacks", US_national_yearly!$D:$AM, 19, FALSE) / VLOOKUP("electricity|PM25|Non-fatal heart attacks", US_national_yearly!$D:$AM, 10, FALSE), 1)</f>
        <v>1.8319718756088118E-2</v>
      </c>
      <c r="L13" s="7">
        <f>$B13 * IFERROR(VLOOKUP("electricity|PM25|Non-fatal heart attacks", US_national_yearly!$D:$AM, 20, FALSE) / VLOOKUP("electricity|PM25|Non-fatal heart attacks", US_national_yearly!$D:$AM, 10, FALSE), 1)</f>
        <v>1.8651606541821918E-2</v>
      </c>
      <c r="M13" s="7">
        <f>$B13 * IFERROR(VLOOKUP("electricity|PM25|Non-fatal heart attacks", US_national_yearly!$D:$AM, 21, FALSE) / VLOOKUP("electricity|PM25|Non-fatal heart attacks", US_national_yearly!$D:$AM, 10, FALSE), 1)</f>
        <v>1.8983494327555726E-2</v>
      </c>
      <c r="N13" s="7">
        <f>$B13 * IFERROR(VLOOKUP("electricity|PM25|Non-fatal heart attacks", US_national_yearly!$D:$AM, 22, FALSE) / VLOOKUP("electricity|PM25|Non-fatal heart attacks", US_national_yearly!$D:$AM, 10, FALSE), 1)</f>
        <v>1.9198846656162196E-2</v>
      </c>
      <c r="O13" s="7">
        <f>$B13 * IFERROR(VLOOKUP("electricity|PM25|Non-fatal heart attacks", US_national_yearly!$D:$AM, 23, FALSE) / VLOOKUP("electricity|PM25|Non-fatal heart attacks", US_national_yearly!$D:$AM, 10, FALSE), 1)</f>
        <v>1.9414198984768666E-2</v>
      </c>
      <c r="P13" s="7">
        <f>$B13 * IFERROR(VLOOKUP("electricity|PM25|Non-fatal heart attacks", US_national_yearly!$D:$AM, 24, FALSE) / VLOOKUP("electricity|PM25|Non-fatal heart attacks", US_national_yearly!$D:$AM, 10, FALSE), 1)</f>
        <v>1.962955131337513E-2</v>
      </c>
      <c r="Q13" s="7">
        <f>$B13 * IFERROR(VLOOKUP("electricity|PM25|Non-fatal heart attacks", US_national_yearly!$D:$AM, 25, FALSE) / VLOOKUP("electricity|PM25|Non-fatal heart attacks", US_national_yearly!$D:$AM, 10, FALSE), 1)</f>
        <v>1.98449036419816E-2</v>
      </c>
      <c r="R13" s="7">
        <f>$B13 * IFERROR(VLOOKUP("electricity|PM25|Non-fatal heart attacks", US_national_yearly!$D:$AM, 26, FALSE) / VLOOKUP("electricity|PM25|Non-fatal heart attacks", US_national_yearly!$D:$AM, 10, FALSE), 1)</f>
        <v>2.0060255970588071E-2</v>
      </c>
      <c r="S13" s="7">
        <f>$B13 * IFERROR(VLOOKUP("electricity|PM25|Non-fatal heart attacks", US_national_yearly!$D:$AM, 27, FALSE) / VLOOKUP("electricity|PM25|Non-fatal heart attacks", US_national_yearly!$D:$AM, 10, FALSE), 1)</f>
        <v>2.0178812959930501E-2</v>
      </c>
      <c r="T13" s="7">
        <f>$B13 * IFERROR(VLOOKUP("electricity|PM25|Non-fatal heart attacks", US_national_yearly!$D:$AM, 28, FALSE) / VLOOKUP("electricity|PM25|Non-fatal heart attacks", US_national_yearly!$D:$AM, 10, FALSE), 1)</f>
        <v>2.0297369949272937E-2</v>
      </c>
      <c r="U13" s="7">
        <f>$B13 * IFERROR(VLOOKUP("electricity|PM25|Non-fatal heart attacks", US_national_yearly!$D:$AM, 29, FALSE) / VLOOKUP("electricity|PM25|Non-fatal heart attacks", US_national_yearly!$D:$AM, 10, FALSE), 1)</f>
        <v>2.0415926938615367E-2</v>
      </c>
      <c r="V13" s="7">
        <f>$B13 * IFERROR(VLOOKUP("electricity|PM25|Non-fatal heart attacks", US_national_yearly!$D:$AM, 30, FALSE) / VLOOKUP("electricity|PM25|Non-fatal heart attacks", US_national_yearly!$D:$AM, 10, FALSE), 1)</f>
        <v>2.05344839279578E-2</v>
      </c>
      <c r="W13" s="7">
        <f>$B13 * IFERROR(VLOOKUP("electricity|PM25|Non-fatal heart attacks", US_national_yearly!$D:$AM, 31, FALSE) / VLOOKUP("electricity|PM25|Non-fatal heart attacks", US_national_yearly!$D:$AM, 10, FALSE), 1)</f>
        <v>2.0653040917300237E-2</v>
      </c>
      <c r="X13" s="7">
        <f>$B13 * IFERROR(VLOOKUP("electricity|PM25|Non-fatal heart attacks", US_national_yearly!$D:$AM, 32, FALSE) / VLOOKUP("electricity|PM25|Non-fatal heart attacks", US_national_yearly!$D:$AM, 10, FALSE), 1)</f>
        <v>2.0745789921553227E-2</v>
      </c>
      <c r="Y13" s="7">
        <f>$B13 * IFERROR(VLOOKUP("electricity|PM25|Non-fatal heart attacks", US_national_yearly!$D:$AM, 33, FALSE) / VLOOKUP("electricity|PM25|Non-fatal heart attacks", US_national_yearly!$D:$AM, 10, FALSE), 1)</f>
        <v>2.083853892580622E-2</v>
      </c>
      <c r="Z13" s="7">
        <f>$B13 * IFERROR(VLOOKUP("electricity|PM25|Non-fatal heart attacks", US_national_yearly!$D:$AM, 34, FALSE) / VLOOKUP("electricity|PM25|Non-fatal heart attacks", US_national_yearly!$D:$AM, 10, FALSE), 1)</f>
        <v>2.093128793005921E-2</v>
      </c>
      <c r="AA13" s="7">
        <f>$B13 * IFERROR(VLOOKUP("electricity|PM25|Non-fatal heart attacks", US_national_yearly!$D:$AM, 35, FALSE) / VLOOKUP("electricity|PM25|Non-fatal heart attacks", US_national_yearly!$D:$AM, 10, FALSE), 1)</f>
        <v>2.1024036934312207E-2</v>
      </c>
      <c r="AB13" s="7">
        <f>$B13 * IFERROR(VLOOKUP("electricity|PM25|Non-fatal heart attacks", US_national_yearly!$D:$AM, 36, FALSE) / VLOOKUP("electricity|PM25|Non-fatal heart attacks", US_national_yearly!$D:$AM, 10, FALSE), 1)</f>
        <v>2.1116785938565197E-2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12.223788951194512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12.25092494101237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12.278060930830229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12.305196920648086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12.332332910465945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12.372599575004141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12.412866239542337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12.48396620438532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12.555066169228304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12.626166134071287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12.697266098914271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12.768366063757252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12.867002220503231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12.965638377249212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13.06427453399519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13.162910690741171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13.26154684748715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13.361033791099524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13.460520734711897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13.56000767832427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13.659494621936645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13.758981565549018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13.844262642136242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13.929543718723467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14.014824795310693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14.100105871897913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14.185386948485142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2.0806895631128324</v>
      </c>
      <c r="C15" s="7">
        <f>$B15 * IFERROR(VLOOKUP("electricity|PM25|Work loss days", US_national_yearly!$D:$AM, 11, FALSE) / VLOOKUP("electricity|PM25|Work loss days", US_national_yearly!$D:$AM, 10, FALSE), 1)</f>
        <v>2.0866435765716873</v>
      </c>
      <c r="D15" s="7">
        <f>$B15 * IFERROR(VLOOKUP("electricity|PM25|Work loss days", US_national_yearly!$D:$AM, 12, FALSE) / VLOOKUP("electricity|PM25|Work loss days", US_national_yearly!$D:$AM, 10, FALSE), 1)</f>
        <v>2.0925975900305422</v>
      </c>
      <c r="E15" s="7">
        <f>$B15 * IFERROR(VLOOKUP("electricity|PM25|Work loss days", US_national_yearly!$D:$AM, 13, FALSE) / VLOOKUP("electricity|PM25|Work loss days", US_national_yearly!$D:$AM, 10, FALSE), 1)</f>
        <v>2.0985516034893972</v>
      </c>
      <c r="F15" s="7">
        <f>$B15 * IFERROR(VLOOKUP("electricity|PM25|Work loss days", US_national_yearly!$D:$AM, 14, FALSE) / VLOOKUP("electricity|PM25|Work loss days", US_national_yearly!$D:$AM, 10, FALSE), 1)</f>
        <v>2.1045056169482521</v>
      </c>
      <c r="G15" s="7">
        <f>$B15 * IFERROR(VLOOKUP("electricity|PM25|Work loss days", US_national_yearly!$D:$AM, 15, FALSE) / VLOOKUP("electricity|PM25|Work loss days", US_national_yearly!$D:$AM, 10, FALSE), 1)</f>
        <v>2.1122187357358344</v>
      </c>
      <c r="H15" s="7">
        <f>$B15 * IFERROR(VLOOKUP("electricity|PM25|Work loss days", US_national_yearly!$D:$AM, 16, FALSE) / VLOOKUP("electricity|PM25|Work loss days", US_national_yearly!$D:$AM, 10, FALSE), 1)</f>
        <v>2.1199318545234171</v>
      </c>
      <c r="I15" s="7">
        <f>$B15 * IFERROR(VLOOKUP("electricity|PM25|Work loss days", US_national_yearly!$D:$AM, 17, FALSE) / VLOOKUP("electricity|PM25|Work loss days", US_national_yearly!$D:$AM, 10, FALSE), 1)</f>
        <v>2.1315272115351487</v>
      </c>
      <c r="J15" s="7">
        <f>$B15 * IFERROR(VLOOKUP("electricity|PM25|Work loss days", US_national_yearly!$D:$AM, 18, FALSE) / VLOOKUP("electricity|PM25|Work loss days", US_national_yearly!$D:$AM, 10, FALSE), 1)</f>
        <v>2.1431225685468793</v>
      </c>
      <c r="K15" s="7">
        <f>$B15 * IFERROR(VLOOKUP("electricity|PM25|Work loss days", US_national_yearly!$D:$AM, 19, FALSE) / VLOOKUP("electricity|PM25|Work loss days", US_national_yearly!$D:$AM, 10, FALSE), 1)</f>
        <v>2.1547179255586109</v>
      </c>
      <c r="L15" s="7">
        <f>$B15 * IFERROR(VLOOKUP("electricity|PM25|Work loss days", US_national_yearly!$D:$AM, 20, FALSE) / VLOOKUP("electricity|PM25|Work loss days", US_national_yearly!$D:$AM, 10, FALSE), 1)</f>
        <v>2.1663132825703424</v>
      </c>
      <c r="M15" s="7">
        <f>$B15 * IFERROR(VLOOKUP("electricity|PM25|Work loss days", US_national_yearly!$D:$AM, 21, FALSE) / VLOOKUP("electricity|PM25|Work loss days", US_national_yearly!$D:$AM, 10, FALSE), 1)</f>
        <v>2.1779086395820735</v>
      </c>
      <c r="N15" s="7">
        <f>$B15 * IFERROR(VLOOKUP("electricity|PM25|Work loss days", US_national_yearly!$D:$AM, 22, FALSE) / VLOOKUP("electricity|PM25|Work loss days", US_national_yearly!$D:$AM, 10, FALSE), 1)</f>
        <v>2.1928790504626097</v>
      </c>
      <c r="O15" s="7">
        <f>$B15 * IFERROR(VLOOKUP("electricity|PM25|Work loss days", US_national_yearly!$D:$AM, 23, FALSE) / VLOOKUP("electricity|PM25|Work loss days", US_national_yearly!$D:$AM, 10, FALSE), 1)</f>
        <v>2.2078494613431463</v>
      </c>
      <c r="P15" s="7">
        <f>$B15 * IFERROR(VLOOKUP("electricity|PM25|Work loss days", US_national_yearly!$D:$AM, 24, FALSE) / VLOOKUP("electricity|PM25|Work loss days", US_national_yearly!$D:$AM, 10, FALSE), 1)</f>
        <v>2.222819872223682</v>
      </c>
      <c r="Q15" s="7">
        <f>$B15 * IFERROR(VLOOKUP("electricity|PM25|Work loss days", US_national_yearly!$D:$AM, 25, FALSE) / VLOOKUP("electricity|PM25|Work loss days", US_national_yearly!$D:$AM, 10, FALSE), 1)</f>
        <v>2.2377902831042178</v>
      </c>
      <c r="R15" s="7">
        <f>$B15 * IFERROR(VLOOKUP("electricity|PM25|Work loss days", US_national_yearly!$D:$AM, 26, FALSE) / VLOOKUP("electricity|PM25|Work loss days", US_national_yearly!$D:$AM, 10, FALSE), 1)</f>
        <v>2.252760693984754</v>
      </c>
      <c r="S15" s="7">
        <f>$B15 * IFERROR(VLOOKUP("electricity|PM25|Work loss days", US_national_yearly!$D:$AM, 27, FALSE) / VLOOKUP("electricity|PM25|Work loss days", US_national_yearly!$D:$AM, 10, FALSE), 1)</f>
        <v>2.269372563784851</v>
      </c>
      <c r="T15" s="7">
        <f>$B15 * IFERROR(VLOOKUP("electricity|PM25|Work loss days", US_national_yearly!$D:$AM, 28, FALSE) / VLOOKUP("electricity|PM25|Work loss days", US_national_yearly!$D:$AM, 10, FALSE), 1)</f>
        <v>2.2859844335849484</v>
      </c>
      <c r="U15" s="7">
        <f>$B15 * IFERROR(VLOOKUP("electricity|PM25|Work loss days", US_national_yearly!$D:$AM, 29, FALSE) / VLOOKUP("electricity|PM25|Work loss days", US_national_yearly!$D:$AM, 10, FALSE), 1)</f>
        <v>2.3025963033850458</v>
      </c>
      <c r="V15" s="7">
        <f>$B15 * IFERROR(VLOOKUP("electricity|PM25|Work loss days", US_national_yearly!$D:$AM, 30, FALSE) / VLOOKUP("electricity|PM25|Work loss days", US_national_yearly!$D:$AM, 10, FALSE), 1)</f>
        <v>2.3192081731851433</v>
      </c>
      <c r="W15" s="7">
        <f>$B15 * IFERROR(VLOOKUP("electricity|PM25|Work loss days", US_national_yearly!$D:$AM, 31, FALSE) / VLOOKUP("electricity|PM25|Work loss days", US_national_yearly!$D:$AM, 10, FALSE), 1)</f>
        <v>2.3358200429852403</v>
      </c>
      <c r="X15" s="7">
        <f>$B15 * IFERROR(VLOOKUP("electricity|PM25|Work loss days", US_national_yearly!$D:$AM, 32, FALSE) / VLOOKUP("electricity|PM25|Work loss days", US_national_yearly!$D:$AM, 10, FALSE), 1)</f>
        <v>2.3504744379155365</v>
      </c>
      <c r="Y15" s="7">
        <f>$B15 * IFERROR(VLOOKUP("electricity|PM25|Work loss days", US_national_yearly!$D:$AM, 33, FALSE) / VLOOKUP("electricity|PM25|Work loss days", US_national_yearly!$D:$AM, 10, FALSE), 1)</f>
        <v>2.3651288328458313</v>
      </c>
      <c r="Z15" s="7">
        <f>$B15 * IFERROR(VLOOKUP("electricity|PM25|Work loss days", US_national_yearly!$D:$AM, 34, FALSE) / VLOOKUP("electricity|PM25|Work loss days", US_national_yearly!$D:$AM, 10, FALSE), 1)</f>
        <v>2.3797832277761271</v>
      </c>
      <c r="AA15" s="7">
        <f>$B15 * IFERROR(VLOOKUP("electricity|PM25|Work loss days", US_national_yearly!$D:$AM, 35, FALSE) / VLOOKUP("electricity|PM25|Work loss days", US_national_yearly!$D:$AM, 10, FALSE), 1)</f>
        <v>2.3944376227064228</v>
      </c>
      <c r="AB15" s="7">
        <f>$B15 * IFERROR(VLOOKUP("electricity|PM25|Work loss days", US_national_yearly!$D:$AM, 36, FALSE) / VLOOKUP("electricity|PM25|Work loss days", US_national_yearly!$D:$AM, 10, FALSE), 1)</f>
        <v>2.4090920176367185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3.545125011220581E-3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3.6503262739104904E-3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3.7555275366003994E-3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3.8607287992903088E-3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3.9659300619802182E-3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4.0673965166362191E-3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4.1688629712922209E-3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4.2567612784562107E-3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4.3446595856201998E-3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4.4325578927841888E-3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4.5204561999481778E-3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4.6083545071121659E-3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4.6674417638779423E-3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4.7265290206437178E-3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4.7856162774094924E-3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4.8447035341752688E-3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4.9037907909410443E-3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4.9364011268207683E-3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4.9690114627004905E-3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5.0016217985802145E-3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5.0342321344599376E-3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5.0668424703396607E-3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5.0895932066755802E-3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5.1123439430114988E-3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5.1350946793474184E-3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5.1578454156833396E-3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5.1805961520192591E-3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4.3100896330660249E-4</v>
      </c>
      <c r="C2" s="7">
        <f>$B2 * IFERROR(VLOOKUP("electricity|NOx|Premature mortality", US_national_yearly!$D:$AM, 11, FALSE) / VLOOKUP("electricity|NOx|Premature mortality", US_national_yearly!$D:$AM, 10, FALSE), 1)</f>
        <v>4.3753040205504474E-4</v>
      </c>
      <c r="D2" s="7">
        <f>$B2 * IFERROR(VLOOKUP("electricity|NOx|Premature mortality", US_national_yearly!$D:$AM, 12, FALSE) / VLOOKUP("electricity|NOx|Premature mortality", US_national_yearly!$D:$AM, 10, FALSE), 1)</f>
        <v>4.4405184080348705E-4</v>
      </c>
      <c r="E2" s="7">
        <f>$B2 * IFERROR(VLOOKUP("electricity|NOx|Premature mortality", US_national_yearly!$D:$AM, 13, FALSE) / VLOOKUP("electricity|NOx|Premature mortality", US_national_yearly!$D:$AM, 10, FALSE), 1)</f>
        <v>4.5057327955192925E-4</v>
      </c>
      <c r="F2" s="7">
        <f>$B2 * IFERROR(VLOOKUP("electricity|NOx|Premature mortality", US_national_yearly!$D:$AM, 14, FALSE) / VLOOKUP("electricity|NOx|Premature mortality", US_national_yearly!$D:$AM, 10, FALSE), 1)</f>
        <v>4.5709471830037151E-4</v>
      </c>
      <c r="G2" s="7">
        <f>$B2 * IFERROR(VLOOKUP("electricity|NOx|Premature mortality", US_national_yearly!$D:$AM, 15, FALSE) / VLOOKUP("electricity|NOx|Premature mortality", US_national_yearly!$D:$AM, 10, FALSE), 1)</f>
        <v>4.687444096951329E-4</v>
      </c>
      <c r="H2" s="7">
        <f>$B2 * IFERROR(VLOOKUP("electricity|NOx|Premature mortality", US_national_yearly!$D:$AM, 16, FALSE) / VLOOKUP("electricity|NOx|Premature mortality", US_national_yearly!$D:$AM, 10, FALSE), 1)</f>
        <v>4.803941010898942E-4</v>
      </c>
      <c r="I2" s="7">
        <f>$B2 * IFERROR(VLOOKUP("electricity|NOx|Premature mortality", US_national_yearly!$D:$AM, 17, FALSE) / VLOOKUP("electricity|NOx|Premature mortality", US_national_yearly!$D:$AM, 10, FALSE), 1)</f>
        <v>4.8813579953048544E-4</v>
      </c>
      <c r="J2" s="7">
        <f>$B2 * IFERROR(VLOOKUP("electricity|NOx|Premature mortality", US_national_yearly!$D:$AM, 18, FALSE) / VLOOKUP("electricity|NOx|Premature mortality", US_national_yearly!$D:$AM, 10, FALSE), 1)</f>
        <v>4.9587749797107674E-4</v>
      </c>
      <c r="K2" s="7">
        <f>$B2 * IFERROR(VLOOKUP("electricity|NOx|Premature mortality", US_national_yearly!$D:$AM, 19, FALSE) / VLOOKUP("electricity|NOx|Premature mortality", US_national_yearly!$D:$AM, 10, FALSE), 1)</f>
        <v>5.0361919641166803E-4</v>
      </c>
      <c r="L2" s="7">
        <f>$B2 * IFERROR(VLOOKUP("electricity|NOx|Premature mortality", US_national_yearly!$D:$AM, 20, FALSE) / VLOOKUP("electricity|NOx|Premature mortality", US_national_yearly!$D:$AM, 10, FALSE), 1)</f>
        <v>5.1136089485225922E-4</v>
      </c>
      <c r="M2" s="7">
        <f>$B2 * IFERROR(VLOOKUP("electricity|NOx|Premature mortality", US_national_yearly!$D:$AM, 21, FALSE) / VLOOKUP("electricity|NOx|Premature mortality", US_national_yearly!$D:$AM, 10, FALSE), 1)</f>
        <v>5.1910259329285041E-4</v>
      </c>
      <c r="N2" s="7">
        <f>$B2 * IFERROR(VLOOKUP("electricity|NOx|Premature mortality", US_national_yearly!$D:$AM, 22, FALSE) / VLOOKUP("electricity|NOx|Premature mortality", US_national_yearly!$D:$AM, 10, FALSE), 1)</f>
        <v>5.2507620861793182E-4</v>
      </c>
      <c r="O2" s="7">
        <f>$B2 * IFERROR(VLOOKUP("electricity|NOx|Premature mortality", US_national_yearly!$D:$AM, 23, FALSE) / VLOOKUP("electricity|NOx|Premature mortality", US_national_yearly!$D:$AM, 10, FALSE), 1)</f>
        <v>5.3104982394301344E-4</v>
      </c>
      <c r="P2" s="7">
        <f>$B2 * IFERROR(VLOOKUP("electricity|NOx|Premature mortality", US_national_yearly!$D:$AM, 24, FALSE) / VLOOKUP("electricity|NOx|Premature mortality", US_national_yearly!$D:$AM, 10, FALSE), 1)</f>
        <v>5.3702343926809485E-4</v>
      </c>
      <c r="Q2" s="7">
        <f>$B2 * IFERROR(VLOOKUP("electricity|NOx|Premature mortality", US_national_yearly!$D:$AM, 25, FALSE) / VLOOKUP("electricity|NOx|Premature mortality", US_national_yearly!$D:$AM, 10, FALSE), 1)</f>
        <v>5.4299705459317637E-4</v>
      </c>
      <c r="R2" s="7">
        <f>$B2 * IFERROR(VLOOKUP("electricity|NOx|Premature mortality", US_national_yearly!$D:$AM, 26, FALSE) / VLOOKUP("electricity|NOx|Premature mortality", US_national_yearly!$D:$AM, 10, FALSE), 1)</f>
        <v>5.4897066991825766E-4</v>
      </c>
      <c r="S2" s="7">
        <f>$B2 * IFERROR(VLOOKUP("electricity|NOx|Premature mortality", US_national_yearly!$D:$AM, 27, FALSE) / VLOOKUP("electricity|NOx|Premature mortality", US_national_yearly!$D:$AM, 10, FALSE), 1)</f>
        <v>5.5205748707621443E-4</v>
      </c>
      <c r="T2" s="7">
        <f>$B2 * IFERROR(VLOOKUP("electricity|NOx|Premature mortality", US_national_yearly!$D:$AM, 28, FALSE) / VLOOKUP("electricity|NOx|Premature mortality", US_national_yearly!$D:$AM, 10, FALSE), 1)</f>
        <v>5.551443042341712E-4</v>
      </c>
      <c r="U2" s="7">
        <f>$B2 * IFERROR(VLOOKUP("electricity|NOx|Premature mortality", US_national_yearly!$D:$AM, 29, FALSE) / VLOOKUP("electricity|NOx|Premature mortality", US_national_yearly!$D:$AM, 10, FALSE), 1)</f>
        <v>5.5823112139212808E-4</v>
      </c>
      <c r="V2" s="7">
        <f>$B2 * IFERROR(VLOOKUP("electricity|NOx|Premature mortality", US_national_yearly!$D:$AM, 30, FALSE) / VLOOKUP("electricity|NOx|Premature mortality", US_national_yearly!$D:$AM, 10, FALSE), 1)</f>
        <v>5.6131793855008485E-4</v>
      </c>
      <c r="W2" s="7">
        <f>$B2 * IFERROR(VLOOKUP("electricity|NOx|Premature mortality", US_national_yearly!$D:$AM, 31, FALSE) / VLOOKUP("electricity|NOx|Premature mortality", US_national_yearly!$D:$AM, 10, FALSE), 1)</f>
        <v>5.6440475570804162E-4</v>
      </c>
      <c r="X2" s="7">
        <f>$B2 * IFERROR(VLOOKUP("electricity|NOx|Premature mortality", US_national_yearly!$D:$AM, 32, FALSE) / VLOOKUP("electricity|NOx|Premature mortality", US_national_yearly!$D:$AM, 10, FALSE), 1)</f>
        <v>5.6510308964502899E-4</v>
      </c>
      <c r="Y2" s="7">
        <f>$B2 * IFERROR(VLOOKUP("electricity|NOx|Premature mortality", US_national_yearly!$D:$AM, 33, FALSE) / VLOOKUP("electricity|NOx|Premature mortality", US_national_yearly!$D:$AM, 10, FALSE), 1)</f>
        <v>5.6580142358201636E-4</v>
      </c>
      <c r="Z2" s="7">
        <f>$B2 * IFERROR(VLOOKUP("electricity|NOx|Premature mortality", US_national_yearly!$D:$AM, 34, FALSE) / VLOOKUP("electricity|NOx|Premature mortality", US_national_yearly!$D:$AM, 10, FALSE), 1)</f>
        <v>5.6649975751900373E-4</v>
      </c>
      <c r="AA2" s="7">
        <f>$B2 * IFERROR(VLOOKUP("electricity|NOx|Premature mortality", US_national_yearly!$D:$AM, 35, FALSE) / VLOOKUP("electricity|NOx|Premature mortality", US_national_yearly!$D:$AM, 10, FALSE), 1)</f>
        <v>5.671980914559911E-4</v>
      </c>
      <c r="AB2" s="7">
        <f>$B2 * IFERROR(VLOOKUP("electricity|NOx|Premature mortality", US_national_yearly!$D:$AM, 36, FALSE) / VLOOKUP("electricity|NOx|Premature mortality", US_national_yearly!$D:$AM, 10, FALSE), 1)</f>
        <v>5.6789642539297846E-4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8.5289714662656291E-7</v>
      </c>
      <c r="C3" s="7">
        <f>$B3 * IFERROR(VLOOKUP("electricity|NOx|Infant mortality", US_national_yearly!$D:$AM, 11, FALSE) / VLOOKUP("electricity|NOx|Infant mortality", US_national_yearly!$D:$AM, 10, FALSE), 1)</f>
        <v>8.4491780651580363E-7</v>
      </c>
      <c r="D3" s="7">
        <f>$B3 * IFERROR(VLOOKUP("electricity|NOx|Infant mortality", US_national_yearly!$D:$AM, 12, FALSE) / VLOOKUP("electricity|NOx|Infant mortality", US_national_yearly!$D:$AM, 10, FALSE), 1)</f>
        <v>8.3693846640504424E-7</v>
      </c>
      <c r="E3" s="7">
        <f>$B3 * IFERROR(VLOOKUP("electricity|NOx|Infant mortality", US_national_yearly!$D:$AM, 13, FALSE) / VLOOKUP("electricity|NOx|Infant mortality", US_national_yearly!$D:$AM, 10, FALSE), 1)</f>
        <v>8.2895912629428496E-7</v>
      </c>
      <c r="F3" s="7">
        <f>$B3 * IFERROR(VLOOKUP("electricity|NOx|Infant mortality", US_national_yearly!$D:$AM, 14, FALSE) / VLOOKUP("electricity|NOx|Infant mortality", US_national_yearly!$D:$AM, 10, FALSE), 1)</f>
        <v>8.2097978618352547E-7</v>
      </c>
      <c r="G3" s="7">
        <f>$B3 * IFERROR(VLOOKUP("electricity|NOx|Infant mortality", US_national_yearly!$D:$AM, 15, FALSE) / VLOOKUP("electricity|NOx|Infant mortality", US_national_yearly!$D:$AM, 10, FALSE), 1)</f>
        <v>5.4393978265273194E-7</v>
      </c>
      <c r="H3" s="7">
        <f>$B3 * IFERROR(VLOOKUP("electricity|NOx|Infant mortality", US_national_yearly!$D:$AM, 16, FALSE) / VLOOKUP("electricity|NOx|Infant mortality", US_national_yearly!$D:$AM, 10, FALSE), 1)</f>
        <v>2.6689977912193847E-7</v>
      </c>
      <c r="I3" s="7">
        <f>$B3 * IFERROR(VLOOKUP("electricity|NOx|Infant mortality", US_national_yearly!$D:$AM, 17, FALSE) / VLOOKUP("electricity|NOx|Infant mortality", US_national_yearly!$D:$AM, 10, FALSE), 1)</f>
        <v>2.6495873807859379E-7</v>
      </c>
      <c r="J3" s="7">
        <f>$B3 * IFERROR(VLOOKUP("electricity|NOx|Infant mortality", US_national_yearly!$D:$AM, 18, FALSE) / VLOOKUP("electricity|NOx|Infant mortality", US_national_yearly!$D:$AM, 10, FALSE), 1)</f>
        <v>2.6301769703524906E-7</v>
      </c>
      <c r="K3" s="7">
        <f>$B3 * IFERROR(VLOOKUP("electricity|NOx|Infant mortality", US_national_yearly!$D:$AM, 19, FALSE) / VLOOKUP("electricity|NOx|Infant mortality", US_national_yearly!$D:$AM, 10, FALSE), 1)</f>
        <v>2.6107665599190438E-7</v>
      </c>
      <c r="L3" s="7">
        <f>$B3 * IFERROR(VLOOKUP("electricity|NOx|Infant mortality", US_national_yearly!$D:$AM, 20, FALSE) / VLOOKUP("electricity|NOx|Infant mortality", US_national_yearly!$D:$AM, 10, FALSE), 1)</f>
        <v>2.5913561494855964E-7</v>
      </c>
      <c r="M3" s="7">
        <f>$B3 * IFERROR(VLOOKUP("electricity|NOx|Infant mortality", US_national_yearly!$D:$AM, 21, FALSE) / VLOOKUP("electricity|NOx|Infant mortality", US_national_yearly!$D:$AM, 10, FALSE), 1)</f>
        <v>2.5719457390521491E-7</v>
      </c>
      <c r="N3" s="7">
        <f>$B3 * IFERROR(VLOOKUP("electricity|NOx|Infant mortality", US_national_yearly!$D:$AM, 22, FALSE) / VLOOKUP("electricity|NOx|Infant mortality", US_national_yearly!$D:$AM, 10, FALSE), 1)</f>
        <v>2.5589115090131615E-7</v>
      </c>
      <c r="O3" s="7">
        <f>$B3 * IFERROR(VLOOKUP("electricity|NOx|Infant mortality", US_national_yearly!$D:$AM, 23, FALSE) / VLOOKUP("electricity|NOx|Infant mortality", US_national_yearly!$D:$AM, 10, FALSE), 1)</f>
        <v>2.5458772789741734E-7</v>
      </c>
      <c r="P3" s="7">
        <f>$B3 * IFERROR(VLOOKUP("electricity|NOx|Infant mortality", US_national_yearly!$D:$AM, 24, FALSE) / VLOOKUP("electricity|NOx|Infant mortality", US_national_yearly!$D:$AM, 10, FALSE), 1)</f>
        <v>2.5328430489351848E-7</v>
      </c>
      <c r="Q3" s="7">
        <f>$B3 * IFERROR(VLOOKUP("electricity|NOx|Infant mortality", US_national_yearly!$D:$AM, 25, FALSE) / VLOOKUP("electricity|NOx|Infant mortality", US_national_yearly!$D:$AM, 10, FALSE), 1)</f>
        <v>2.5198088188961968E-7</v>
      </c>
      <c r="R3" s="7">
        <f>$B3 * IFERROR(VLOOKUP("electricity|NOx|Infant mortality", US_national_yearly!$D:$AM, 26, FALSE) / VLOOKUP("electricity|NOx|Infant mortality", US_national_yearly!$D:$AM, 10, FALSE), 1)</f>
        <v>2.5067745888572092E-7</v>
      </c>
      <c r="S3" s="7">
        <f>$B3 * IFERROR(VLOOKUP("electricity|NOx|Infant mortality", US_national_yearly!$D:$AM, 27, FALSE) / VLOOKUP("electricity|NOx|Infant mortality", US_national_yearly!$D:$AM, 10, FALSE), 1)</f>
        <v>2.4913006879618216E-7</v>
      </c>
      <c r="T3" s="7">
        <f>$B3 * IFERROR(VLOOKUP("electricity|NOx|Infant mortality", US_national_yearly!$D:$AM, 28, FALSE) / VLOOKUP("electricity|NOx|Infant mortality", US_national_yearly!$D:$AM, 10, FALSE), 1)</f>
        <v>2.4758267870664345E-7</v>
      </c>
      <c r="U3" s="7">
        <f>$B3 * IFERROR(VLOOKUP("electricity|NOx|Infant mortality", US_national_yearly!$D:$AM, 29, FALSE) / VLOOKUP("electricity|NOx|Infant mortality", US_national_yearly!$D:$AM, 10, FALSE), 1)</f>
        <v>2.4603528861710475E-7</v>
      </c>
      <c r="V3" s="7">
        <f>$B3 * IFERROR(VLOOKUP("electricity|NOx|Infant mortality", US_national_yearly!$D:$AM, 30, FALSE) / VLOOKUP("electricity|NOx|Infant mortality", US_national_yearly!$D:$AM, 10, FALSE), 1)</f>
        <v>2.4448789852756604E-7</v>
      </c>
      <c r="W3" s="7">
        <f>$B3 * IFERROR(VLOOKUP("electricity|NOx|Infant mortality", US_national_yearly!$D:$AM, 31, FALSE) / VLOOKUP("electricity|NOx|Infant mortality", US_national_yearly!$D:$AM, 10, FALSE), 1)</f>
        <v>2.4294050843802728E-7</v>
      </c>
      <c r="X3" s="7">
        <f>$B3 * IFERROR(VLOOKUP("electricity|NOx|Infant mortality", US_national_yearly!$D:$AM, 32, FALSE) / VLOOKUP("electricity|NOx|Infant mortality", US_national_yearly!$D:$AM, 10, FALSE), 1)</f>
        <v>2.4134720051915696E-7</v>
      </c>
      <c r="Y3" s="7">
        <f>$B3 * IFERROR(VLOOKUP("electricity|NOx|Infant mortality", US_national_yearly!$D:$AM, 33, FALSE) / VLOOKUP("electricity|NOx|Infant mortality", US_national_yearly!$D:$AM, 10, FALSE), 1)</f>
        <v>2.3975389260028663E-7</v>
      </c>
      <c r="Z3" s="7">
        <f>$B3 * IFERROR(VLOOKUP("electricity|NOx|Infant mortality", US_national_yearly!$D:$AM, 34, FALSE) / VLOOKUP("electricity|NOx|Infant mortality", US_national_yearly!$D:$AM, 10, FALSE), 1)</f>
        <v>2.3816058468141631E-7</v>
      </c>
      <c r="AA3" s="7">
        <f>$B3 * IFERROR(VLOOKUP("electricity|NOx|Infant mortality", US_national_yearly!$D:$AM, 35, FALSE) / VLOOKUP("electricity|NOx|Infant mortality", US_national_yearly!$D:$AM, 10, FALSE), 1)</f>
        <v>2.3656727676254599E-7</v>
      </c>
      <c r="AB3" s="7">
        <f>$B3 * IFERROR(VLOOKUP("electricity|NOx|Infant mortality", US_national_yearly!$D:$AM, 36, FALSE) / VLOOKUP("electricity|NOx|Infant mortality", US_national_yearly!$D:$AM, 10, FALSE), 1)</f>
        <v>2.3497396884367561E-7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1.1572190350639133E-3</v>
      </c>
      <c r="C6" s="7">
        <f>$B6 * IFERROR(VLOOKUP("electricity|NOx|Asthma symptoms cough", US_national_yearly!$D:$AM, 11, FALSE) / VLOOKUP("electricity|NOx|Asthma symptoms cough", US_national_yearly!$D:$AM, 10, FALSE), 1)</f>
        <v>1.1731061838419594E-3</v>
      </c>
      <c r="D6" s="7">
        <f>$B6 * IFERROR(VLOOKUP("electricity|NOx|Asthma symptoms cough", US_national_yearly!$D:$AM, 12, FALSE) / VLOOKUP("electricity|NOx|Asthma symptoms cough", US_national_yearly!$D:$AM, 10, FALSE), 1)</f>
        <v>1.1889933326200057E-3</v>
      </c>
      <c r="E6" s="7">
        <f>$B6 * IFERROR(VLOOKUP("electricity|NOx|Asthma symptoms cough", US_national_yearly!$D:$AM, 13, FALSE) / VLOOKUP("electricity|NOx|Asthma symptoms cough", US_national_yearly!$D:$AM, 10, FALSE), 1)</f>
        <v>1.2048804813980518E-3</v>
      </c>
      <c r="F6" s="7">
        <f>$B6 * IFERROR(VLOOKUP("electricity|NOx|Asthma symptoms cough", US_national_yearly!$D:$AM, 14, FALSE) / VLOOKUP("electricity|NOx|Asthma symptoms cough", US_national_yearly!$D:$AM, 10, FALSE), 1)</f>
        <v>1.2207676301760979E-3</v>
      </c>
      <c r="G6" s="7">
        <f>$B6 * IFERROR(VLOOKUP("electricity|NOx|Asthma symptoms cough", US_national_yearly!$D:$AM, 15, FALSE) / VLOOKUP("electricity|NOx|Asthma symptoms cough", US_national_yearly!$D:$AM, 10, FALSE), 1)</f>
        <v>1.2336847245048737E-3</v>
      </c>
      <c r="H6" s="7">
        <f>$B6 * IFERROR(VLOOKUP("electricity|NOx|Asthma symptoms cough", US_national_yearly!$D:$AM, 16, FALSE) / VLOOKUP("electricity|NOx|Asthma symptoms cough", US_national_yearly!$D:$AM, 10, FALSE), 1)</f>
        <v>1.2466018188336497E-3</v>
      </c>
      <c r="I6" s="7">
        <f>$B6 * IFERROR(VLOOKUP("electricity|NOx|Asthma symptoms cough", US_national_yearly!$D:$AM, 17, FALSE) / VLOOKUP("electricity|NOx|Asthma symptoms cough", US_national_yearly!$D:$AM, 10, FALSE), 1)</f>
        <v>1.2514035941941111E-3</v>
      </c>
      <c r="J6" s="7">
        <f>$B6 * IFERROR(VLOOKUP("electricity|NOx|Asthma symptoms cough", US_national_yearly!$D:$AM, 18, FALSE) / VLOOKUP("electricity|NOx|Asthma symptoms cough", US_national_yearly!$D:$AM, 10, FALSE), 1)</f>
        <v>1.2562053695545727E-3</v>
      </c>
      <c r="K6" s="7">
        <f>$B6 * IFERROR(VLOOKUP("electricity|NOx|Asthma symptoms cough", US_national_yearly!$D:$AM, 19, FALSE) / VLOOKUP("electricity|NOx|Asthma symptoms cough", US_national_yearly!$D:$AM, 10, FALSE), 1)</f>
        <v>1.2610071449150346E-3</v>
      </c>
      <c r="L6" s="7">
        <f>$B6 * IFERROR(VLOOKUP("electricity|NOx|Asthma symptoms cough", US_national_yearly!$D:$AM, 20, FALSE) / VLOOKUP("electricity|NOx|Asthma symptoms cough", US_national_yearly!$D:$AM, 10, FALSE), 1)</f>
        <v>1.2658089202754962E-3</v>
      </c>
      <c r="M6" s="7">
        <f>$B6 * IFERROR(VLOOKUP("electricity|NOx|Asthma symptoms cough", US_national_yearly!$D:$AM, 21, FALSE) / VLOOKUP("electricity|NOx|Asthma symptoms cough", US_national_yearly!$D:$AM, 10, FALSE), 1)</f>
        <v>1.2706106956359581E-3</v>
      </c>
      <c r="N6" s="7">
        <f>$B6 * IFERROR(VLOOKUP("electricity|NOx|Asthma symptoms cough", US_national_yearly!$D:$AM, 22, FALSE) / VLOOKUP("electricity|NOx|Asthma symptoms cough", US_national_yearly!$D:$AM, 10, FALSE), 1)</f>
        <v>1.2759310227388339E-3</v>
      </c>
      <c r="O6" s="7">
        <f>$B6 * IFERROR(VLOOKUP("electricity|NOx|Asthma symptoms cough", US_national_yearly!$D:$AM, 23, FALSE) / VLOOKUP("electricity|NOx|Asthma symptoms cough", US_national_yearly!$D:$AM, 10, FALSE), 1)</f>
        <v>1.2812513498417102E-3</v>
      </c>
      <c r="P6" s="7">
        <f>$B6 * IFERROR(VLOOKUP("electricity|NOx|Asthma symptoms cough", US_national_yearly!$D:$AM, 24, FALSE) / VLOOKUP("electricity|NOx|Asthma symptoms cough", US_national_yearly!$D:$AM, 10, FALSE), 1)</f>
        <v>1.2865716769445863E-3</v>
      </c>
      <c r="Q6" s="7">
        <f>$B6 * IFERROR(VLOOKUP("electricity|NOx|Asthma symptoms cough", US_national_yearly!$D:$AM, 25, FALSE) / VLOOKUP("electricity|NOx|Asthma symptoms cough", US_national_yearly!$D:$AM, 10, FALSE), 1)</f>
        <v>1.2918920040474627E-3</v>
      </c>
      <c r="R6" s="7">
        <f>$B6 * IFERROR(VLOOKUP("electricity|NOx|Asthma symptoms cough", US_national_yearly!$D:$AM, 26, FALSE) / VLOOKUP("electricity|NOx|Asthma symptoms cough", US_national_yearly!$D:$AM, 10, FALSE), 1)</f>
        <v>1.2972123311503388E-3</v>
      </c>
      <c r="S6" s="7">
        <f>$B6 * IFERROR(VLOOKUP("electricity|NOx|Asthma symptoms cough", US_national_yearly!$D:$AM, 27, FALSE) / VLOOKUP("electricity|NOx|Asthma symptoms cough", US_national_yearly!$D:$AM, 10, FALSE), 1)</f>
        <v>1.3038499291489248E-3</v>
      </c>
      <c r="T6" s="7">
        <f>$B6 * IFERROR(VLOOKUP("electricity|NOx|Asthma symptoms cough", US_national_yearly!$D:$AM, 28, FALSE) / VLOOKUP("electricity|NOx|Asthma symptoms cough", US_national_yearly!$D:$AM, 10, FALSE), 1)</f>
        <v>1.3104875271475107E-3</v>
      </c>
      <c r="U6" s="7">
        <f>$B6 * IFERROR(VLOOKUP("electricity|NOx|Asthma symptoms cough", US_national_yearly!$D:$AM, 29, FALSE) / VLOOKUP("electricity|NOx|Asthma symptoms cough", US_national_yearly!$D:$AM, 10, FALSE), 1)</f>
        <v>1.317125125146097E-3</v>
      </c>
      <c r="V6" s="7">
        <f>$B6 * IFERROR(VLOOKUP("electricity|NOx|Asthma symptoms cough", US_national_yearly!$D:$AM, 30, FALSE) / VLOOKUP("electricity|NOx|Asthma symptoms cough", US_national_yearly!$D:$AM, 10, FALSE), 1)</f>
        <v>1.3237627231446828E-3</v>
      </c>
      <c r="W6" s="7">
        <f>$B6 * IFERROR(VLOOKUP("electricity|NOx|Asthma symptoms cough", US_national_yearly!$D:$AM, 31, FALSE) / VLOOKUP("electricity|NOx|Asthma symptoms cough", US_national_yearly!$D:$AM, 10, FALSE), 1)</f>
        <v>1.3304003211432689E-3</v>
      </c>
      <c r="X6" s="7">
        <f>$B6 * IFERROR(VLOOKUP("electricity|NOx|Asthma symptoms cough", US_national_yearly!$D:$AM, 32, FALSE) / VLOOKUP("electricity|NOx|Asthma symptoms cough", US_national_yearly!$D:$AM, 10, FALSE), 1)</f>
        <v>1.3365155844864923E-3</v>
      </c>
      <c r="Y6" s="7">
        <f>$B6 * IFERROR(VLOOKUP("electricity|NOx|Asthma symptoms cough", US_national_yearly!$D:$AM, 33, FALSE) / VLOOKUP("electricity|NOx|Asthma symptoms cough", US_national_yearly!$D:$AM, 10, FALSE), 1)</f>
        <v>1.3426308478297162E-3</v>
      </c>
      <c r="Z6" s="7">
        <f>$B6 * IFERROR(VLOOKUP("electricity|NOx|Asthma symptoms cough", US_national_yearly!$D:$AM, 34, FALSE) / VLOOKUP("electricity|NOx|Asthma symptoms cough", US_national_yearly!$D:$AM, 10, FALSE), 1)</f>
        <v>1.3487461111729401E-3</v>
      </c>
      <c r="AA6" s="7">
        <f>$B6 * IFERROR(VLOOKUP("electricity|NOx|Asthma symptoms cough", US_national_yearly!$D:$AM, 35, FALSE) / VLOOKUP("electricity|NOx|Asthma symptoms cough", US_national_yearly!$D:$AM, 10, FALSE), 1)</f>
        <v>1.3548613745161635E-3</v>
      </c>
      <c r="AB6" s="7">
        <f>$B6 * IFERROR(VLOOKUP("electricity|NOx|Asthma symptoms cough", US_national_yearly!$D:$AM, 36, FALSE) / VLOOKUP("electricity|NOx|Asthma symptoms cough", US_national_yearly!$D:$AM, 10, FALSE), 1)</f>
        <v>1.3609766378593873E-3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1.5583644397820491E-3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1.5797588058518079E-3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1.6011531719215672E-3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1.622547537991326E-3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1.6439419040610848E-3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1.6613366580308698E-3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1.6787314120006544E-3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1.6851977037496944E-3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1.6916639954987337E-3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1.6981302872477735E-3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1.7045965789968128E-3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1.7110628707458525E-3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1.7182274681560232E-3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1.7253920655661943E-3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1.7325566629763651E-3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1.7397212603865362E-3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1.7468858577967068E-3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1.7558243528615815E-3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1.7647628479264558E-3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1.7737013429913306E-3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1.7826398380562049E-3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1.7915783331210796E-3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1.799813428285404E-3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1.8080485234497289E-3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1.8162836186140533E-3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1.8245187137783778E-3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1.8327538089427024E-3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2.3809128678045624E-3</v>
      </c>
      <c r="C8" s="7">
        <f>$B8 * IFERROR(VLOOKUP("electricity|NOx|Asthma symptoms wheeze", US_national_yearly!$D:$AM, 11, FALSE) / VLOOKUP("electricity|NOx|Asthma symptoms wheeze", US_national_yearly!$D:$AM, 10, FALSE), 1)</f>
        <v>2.4135997799641686E-3</v>
      </c>
      <c r="D8" s="7">
        <f>$B8 * IFERROR(VLOOKUP("electricity|NOx|Asthma symptoms wheeze", US_national_yearly!$D:$AM, 12, FALSE) / VLOOKUP("electricity|NOx|Asthma symptoms wheeze", US_national_yearly!$D:$AM, 10, FALSE), 1)</f>
        <v>2.4462866921237743E-3</v>
      </c>
      <c r="E8" s="7">
        <f>$B8 * IFERROR(VLOOKUP("electricity|NOx|Asthma symptoms wheeze", US_national_yearly!$D:$AM, 13, FALSE) / VLOOKUP("electricity|NOx|Asthma symptoms wheeze", US_national_yearly!$D:$AM, 10, FALSE), 1)</f>
        <v>2.4789736042833805E-3</v>
      </c>
      <c r="F8" s="7">
        <f>$B8 * IFERROR(VLOOKUP("electricity|NOx|Asthma symptoms wheeze", US_national_yearly!$D:$AM, 14, FALSE) / VLOOKUP("electricity|NOx|Asthma symptoms wheeze", US_national_yearly!$D:$AM, 10, FALSE), 1)</f>
        <v>2.5116605164429867E-3</v>
      </c>
      <c r="G8" s="7">
        <f>$B8 * IFERROR(VLOOKUP("electricity|NOx|Asthma symptoms wheeze", US_national_yearly!$D:$AM, 15, FALSE) / VLOOKUP("electricity|NOx|Asthma symptoms wheeze", US_national_yearly!$D:$AM, 10, FALSE), 1)</f>
        <v>2.5382367091561658E-3</v>
      </c>
      <c r="H8" s="7">
        <f>$B8 * IFERROR(VLOOKUP("electricity|NOx|Asthma symptoms wheeze", US_national_yearly!$D:$AM, 16, FALSE) / VLOOKUP("electricity|NOx|Asthma symptoms wheeze", US_national_yearly!$D:$AM, 10, FALSE), 1)</f>
        <v>2.5648129018693453E-3</v>
      </c>
      <c r="I8" s="7">
        <f>$B8 * IFERROR(VLOOKUP("electricity|NOx|Asthma symptoms wheeze", US_national_yearly!$D:$AM, 17, FALSE) / VLOOKUP("electricity|NOx|Asthma symptoms wheeze", US_national_yearly!$D:$AM, 10, FALSE), 1)</f>
        <v>2.5746922837118751E-3</v>
      </c>
      <c r="J8" s="7">
        <f>$B8 * IFERROR(VLOOKUP("electricity|NOx|Asthma symptoms wheeze", US_national_yearly!$D:$AM, 18, FALSE) / VLOOKUP("electricity|NOx|Asthma symptoms wheeze", US_national_yearly!$D:$AM, 10, FALSE), 1)</f>
        <v>2.5845716655544045E-3</v>
      </c>
      <c r="K8" s="7">
        <f>$B8 * IFERROR(VLOOKUP("electricity|NOx|Asthma symptoms wheeze", US_national_yearly!$D:$AM, 19, FALSE) / VLOOKUP("electricity|NOx|Asthma symptoms wheeze", US_national_yearly!$D:$AM, 10, FALSE), 1)</f>
        <v>2.5944510473969351E-3</v>
      </c>
      <c r="L8" s="7">
        <f>$B8 * IFERROR(VLOOKUP("electricity|NOx|Asthma symptoms wheeze", US_national_yearly!$D:$AM, 20, FALSE) / VLOOKUP("electricity|NOx|Asthma symptoms wheeze", US_national_yearly!$D:$AM, 10, FALSE), 1)</f>
        <v>2.6043304292394649E-3</v>
      </c>
      <c r="M8" s="7">
        <f>$B8 * IFERROR(VLOOKUP("electricity|NOx|Asthma symptoms wheeze", US_national_yearly!$D:$AM, 21, FALSE) / VLOOKUP("electricity|NOx|Asthma symptoms wheeze", US_national_yearly!$D:$AM, 10, FALSE), 1)</f>
        <v>2.6142098110819943E-3</v>
      </c>
      <c r="N8" s="7">
        <f>$B8 * IFERROR(VLOOKUP("electricity|NOx|Asthma symptoms wheeze", US_national_yearly!$D:$AM, 22, FALSE) / VLOOKUP("electricity|NOx|Asthma symptoms wheeze", US_national_yearly!$D:$AM, 10, FALSE), 1)</f>
        <v>2.6251560838741798E-3</v>
      </c>
      <c r="O8" s="7">
        <f>$B8 * IFERROR(VLOOKUP("electricity|NOx|Asthma symptoms wheeze", US_national_yearly!$D:$AM, 23, FALSE) / VLOOKUP("electricity|NOx|Asthma symptoms wheeze", US_national_yearly!$D:$AM, 10, FALSE), 1)</f>
        <v>2.6361023566663653E-3</v>
      </c>
      <c r="P8" s="7">
        <f>$B8 * IFERROR(VLOOKUP("electricity|NOx|Asthma symptoms wheeze", US_national_yearly!$D:$AM, 24, FALSE) / VLOOKUP("electricity|NOx|Asthma symptoms wheeze", US_national_yearly!$D:$AM, 10, FALSE), 1)</f>
        <v>2.6470486294585508E-3</v>
      </c>
      <c r="Q8" s="7">
        <f>$B8 * IFERROR(VLOOKUP("electricity|NOx|Asthma symptoms wheeze", US_national_yearly!$D:$AM, 25, FALSE) / VLOOKUP("electricity|NOx|Asthma symptoms wheeze", US_national_yearly!$D:$AM, 10, FALSE), 1)</f>
        <v>2.6579949022507363E-3</v>
      </c>
      <c r="R8" s="7">
        <f>$B8 * IFERROR(VLOOKUP("electricity|NOx|Asthma symptoms wheeze", US_national_yearly!$D:$AM, 26, FALSE) / VLOOKUP("electricity|NOx|Asthma symptoms wheeze", US_national_yearly!$D:$AM, 10, FALSE), 1)</f>
        <v>2.6689411750429213E-3</v>
      </c>
      <c r="S8" s="7">
        <f>$B8 * IFERROR(VLOOKUP("electricity|NOx|Asthma symptoms wheeze", US_national_yearly!$D:$AM, 27, FALSE) / VLOOKUP("electricity|NOx|Asthma symptoms wheeze", US_national_yearly!$D:$AM, 10, FALSE), 1)</f>
        <v>2.6825976583744761E-3</v>
      </c>
      <c r="T8" s="7">
        <f>$B8 * IFERROR(VLOOKUP("electricity|NOx|Asthma symptoms wheeze", US_national_yearly!$D:$AM, 28, FALSE) / VLOOKUP("electricity|NOx|Asthma symptoms wheeze", US_national_yearly!$D:$AM, 10, FALSE), 1)</f>
        <v>2.6962541417060305E-3</v>
      </c>
      <c r="U8" s="7">
        <f>$B8 * IFERROR(VLOOKUP("electricity|NOx|Asthma symptoms wheeze", US_national_yearly!$D:$AM, 29, FALSE) / VLOOKUP("electricity|NOx|Asthma symptoms wheeze", US_national_yearly!$D:$AM, 10, FALSE), 1)</f>
        <v>2.7099106250375849E-3</v>
      </c>
      <c r="V8" s="7">
        <f>$B8 * IFERROR(VLOOKUP("electricity|NOx|Asthma symptoms wheeze", US_national_yearly!$D:$AM, 30, FALSE) / VLOOKUP("electricity|NOx|Asthma symptoms wheeze", US_national_yearly!$D:$AM, 10, FALSE), 1)</f>
        <v>2.7235671083691397E-3</v>
      </c>
      <c r="W8" s="7">
        <f>$B8 * IFERROR(VLOOKUP("electricity|NOx|Asthma symptoms wheeze", US_national_yearly!$D:$AM, 31, FALSE) / VLOOKUP("electricity|NOx|Asthma symptoms wheeze", US_national_yearly!$D:$AM, 10, FALSE), 1)</f>
        <v>2.7372235917006941E-3</v>
      </c>
      <c r="X8" s="7">
        <f>$B8 * IFERROR(VLOOKUP("electricity|NOx|Asthma symptoms wheeze", US_national_yearly!$D:$AM, 32, FALSE) / VLOOKUP("electricity|NOx|Asthma symptoms wheeze", US_national_yearly!$D:$AM, 10, FALSE), 1)</f>
        <v>2.7498054009513816E-3</v>
      </c>
      <c r="Y8" s="7">
        <f>$B8 * IFERROR(VLOOKUP("electricity|NOx|Asthma symptoms wheeze", US_national_yearly!$D:$AM, 33, FALSE) / VLOOKUP("electricity|NOx|Asthma symptoms wheeze", US_national_yearly!$D:$AM, 10, FALSE), 1)</f>
        <v>2.7623872102020696E-3</v>
      </c>
      <c r="Z8" s="7">
        <f>$B8 * IFERROR(VLOOKUP("electricity|NOx|Asthma symptoms wheeze", US_national_yearly!$D:$AM, 34, FALSE) / VLOOKUP("electricity|NOx|Asthma symptoms wheeze", US_national_yearly!$D:$AM, 10, FALSE), 1)</f>
        <v>2.7749690194527562E-3</v>
      </c>
      <c r="AA8" s="7">
        <f>$B8 * IFERROR(VLOOKUP("electricity|NOx|Asthma symptoms wheeze", US_national_yearly!$D:$AM, 35, FALSE) / VLOOKUP("electricity|NOx|Asthma symptoms wheeze", US_national_yearly!$D:$AM, 10, FALSE), 1)</f>
        <v>2.7875508287034442E-3</v>
      </c>
      <c r="AB8" s="7">
        <f>$B8 * IFERROR(VLOOKUP("electricity|NOx|Asthma symptoms wheeze", US_national_yearly!$D:$AM, 36, FALSE) / VLOOKUP("electricity|NOx|Asthma symptoms wheeze", US_national_yearly!$D:$AM, 10, FALSE), 1)</f>
        <v>2.8001326379541317E-3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3.3026907244226066E-5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3.3872781501518796E-5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3.4718655758811532E-5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3.5564530016104255E-5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3.6410404273396977E-5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3.7224688751657264E-5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3.8038973229917565E-5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3.8739190891356897E-5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3.9439408552796228E-5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4.013962621423558E-5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4.0839843875674912E-5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4.1540061537114257E-5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4.2019929493195986E-5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4.2499797449277721E-5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4.297966540535945E-5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4.3459533361441186E-5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4.3939401317522915E-5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4.4212701427830379E-5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4.4486001538137843E-5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4.4759301648445293E-5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4.503260175875275E-5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4.5305901869060207E-5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4.5504685499755121E-5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4.5703469130450029E-5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4.590225276114495E-5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4.6101036391839857E-5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4.6299820022534764E-5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1.9873941675839615E-4</v>
      </c>
      <c r="C13" s="7">
        <f>$B13 * IFERROR(VLOOKUP("electricity|NOx|Non-fatal heart attacks", US_national_yearly!$D:$AM, 11, FALSE) / VLOOKUP("electricity|NOx|Non-fatal heart attacks", US_national_yearly!$D:$AM, 10, FALSE), 1)</f>
        <v>2.0444269050231263E-4</v>
      </c>
      <c r="D13" s="7">
        <f>$B13 * IFERROR(VLOOKUP("electricity|NOx|Non-fatal heart attacks", US_national_yearly!$D:$AM, 12, FALSE) / VLOOKUP("electricity|NOx|Non-fatal heart attacks", US_national_yearly!$D:$AM, 10, FALSE), 1)</f>
        <v>2.1014596424622913E-4</v>
      </c>
      <c r="E13" s="7">
        <f>$B13 * IFERROR(VLOOKUP("electricity|NOx|Non-fatal heart attacks", US_national_yearly!$D:$AM, 13, FALSE) / VLOOKUP("electricity|NOx|Non-fatal heart attacks", US_national_yearly!$D:$AM, 10, FALSE), 1)</f>
        <v>2.158492379901456E-4</v>
      </c>
      <c r="F13" s="7">
        <f>$B13 * IFERROR(VLOOKUP("electricity|NOx|Non-fatal heart attacks", US_national_yearly!$D:$AM, 14, FALSE) / VLOOKUP("electricity|NOx|Non-fatal heart attacks", US_national_yearly!$D:$AM, 10, FALSE), 1)</f>
        <v>2.2155251173406213E-4</v>
      </c>
      <c r="G13" s="7">
        <f>$B13 * IFERROR(VLOOKUP("electricity|NOx|Non-fatal heart attacks", US_national_yearly!$D:$AM, 15, FALSE) / VLOOKUP("electricity|NOx|Non-fatal heart attacks", US_national_yearly!$D:$AM, 10, FALSE), 1)</f>
        <v>2.2692521442601026E-4</v>
      </c>
      <c r="H13" s="7">
        <f>$B13 * IFERROR(VLOOKUP("electricity|NOx|Non-fatal heart attacks", US_national_yearly!$D:$AM, 16, FALSE) / VLOOKUP("electricity|NOx|Non-fatal heart attacks", US_national_yearly!$D:$AM, 10, FALSE), 1)</f>
        <v>2.3229791711795842E-4</v>
      </c>
      <c r="I13" s="7">
        <f>$B13 * IFERROR(VLOOKUP("electricity|NOx|Non-fatal heart attacks", US_national_yearly!$D:$AM, 17, FALSE) / VLOOKUP("electricity|NOx|Non-fatal heart attacks", US_national_yearly!$D:$AM, 10, FALSE), 1)</f>
        <v>2.3660628112424952E-4</v>
      </c>
      <c r="J13" s="7">
        <f>$B13 * IFERROR(VLOOKUP("electricity|NOx|Non-fatal heart attacks", US_national_yearly!$D:$AM, 18, FALSE) / VLOOKUP("electricity|NOx|Non-fatal heart attacks", US_national_yearly!$D:$AM, 10, FALSE), 1)</f>
        <v>2.4091464513054065E-4</v>
      </c>
      <c r="K13" s="7">
        <f>$B13 * IFERROR(VLOOKUP("electricity|NOx|Non-fatal heart attacks", US_national_yearly!$D:$AM, 19, FALSE) / VLOOKUP("electricity|NOx|Non-fatal heart attacks", US_national_yearly!$D:$AM, 10, FALSE), 1)</f>
        <v>2.4522300913683157E-4</v>
      </c>
      <c r="L13" s="7">
        <f>$B13 * IFERROR(VLOOKUP("electricity|NOx|Non-fatal heart attacks", US_national_yearly!$D:$AM, 20, FALSE) / VLOOKUP("electricity|NOx|Non-fatal heart attacks", US_national_yearly!$D:$AM, 10, FALSE), 1)</f>
        <v>2.4953137314312268E-4</v>
      </c>
      <c r="M13" s="7">
        <f>$B13 * IFERROR(VLOOKUP("electricity|NOx|Non-fatal heart attacks", US_national_yearly!$D:$AM, 21, FALSE) / VLOOKUP("electricity|NOx|Non-fatal heart attacks", US_national_yearly!$D:$AM, 10, FALSE), 1)</f>
        <v>2.5383973714941384E-4</v>
      </c>
      <c r="N13" s="7">
        <f>$B13 * IFERROR(VLOOKUP("electricity|NOx|Non-fatal heart attacks", US_national_yearly!$D:$AM, 22, FALSE) / VLOOKUP("electricity|NOx|Non-fatal heart attacks", US_national_yearly!$D:$AM, 10, FALSE), 1)</f>
        <v>2.5649679474890535E-4</v>
      </c>
      <c r="O13" s="7">
        <f>$B13 * IFERROR(VLOOKUP("electricity|NOx|Non-fatal heart attacks", US_national_yearly!$D:$AM, 23, FALSE) / VLOOKUP("electricity|NOx|Non-fatal heart attacks", US_national_yearly!$D:$AM, 10, FALSE), 1)</f>
        <v>2.5915385234839697E-4</v>
      </c>
      <c r="P13" s="7">
        <f>$B13 * IFERROR(VLOOKUP("electricity|NOx|Non-fatal heart attacks", US_national_yearly!$D:$AM, 24, FALSE) / VLOOKUP("electricity|NOx|Non-fatal heart attacks", US_national_yearly!$D:$AM, 10, FALSE), 1)</f>
        <v>2.6181090994788848E-4</v>
      </c>
      <c r="Q13" s="7">
        <f>$B13 * IFERROR(VLOOKUP("electricity|NOx|Non-fatal heart attacks", US_national_yearly!$D:$AM, 25, FALSE) / VLOOKUP("electricity|NOx|Non-fatal heart attacks", US_national_yearly!$D:$AM, 10, FALSE), 1)</f>
        <v>2.6446796754738005E-4</v>
      </c>
      <c r="R13" s="7">
        <f>$B13 * IFERROR(VLOOKUP("electricity|NOx|Non-fatal heart attacks", US_national_yearly!$D:$AM, 26, FALSE) / VLOOKUP("electricity|NOx|Non-fatal heart attacks", US_national_yearly!$D:$AM, 10, FALSE), 1)</f>
        <v>2.6712502514687162E-4</v>
      </c>
      <c r="S13" s="7">
        <f>$B13 * IFERROR(VLOOKUP("electricity|NOx|Non-fatal heart attacks", US_national_yearly!$D:$AM, 27, FALSE) / VLOOKUP("electricity|NOx|Non-fatal heart attacks", US_national_yearly!$D:$AM, 10, FALSE), 1)</f>
        <v>2.6842325463795038E-4</v>
      </c>
      <c r="T13" s="7">
        <f>$B13 * IFERROR(VLOOKUP("electricity|NOx|Non-fatal heart attacks", US_national_yearly!$D:$AM, 28, FALSE) / VLOOKUP("electricity|NOx|Non-fatal heart attacks", US_national_yearly!$D:$AM, 10, FALSE), 1)</f>
        <v>2.6972148412902913E-4</v>
      </c>
      <c r="U13" s="7">
        <f>$B13 * IFERROR(VLOOKUP("electricity|NOx|Non-fatal heart attacks", US_national_yearly!$D:$AM, 29, FALSE) / VLOOKUP("electricity|NOx|Non-fatal heart attacks", US_national_yearly!$D:$AM, 10, FALSE), 1)</f>
        <v>2.7101971362010794E-4</v>
      </c>
      <c r="V13" s="7">
        <f>$B13 * IFERROR(VLOOKUP("electricity|NOx|Non-fatal heart attacks", US_national_yearly!$D:$AM, 30, FALSE) / VLOOKUP("electricity|NOx|Non-fatal heart attacks", US_national_yearly!$D:$AM, 10, FALSE), 1)</f>
        <v>2.723179431111867E-4</v>
      </c>
      <c r="W13" s="7">
        <f>$B13 * IFERROR(VLOOKUP("electricity|NOx|Non-fatal heart attacks", US_national_yearly!$D:$AM, 31, FALSE) / VLOOKUP("electricity|NOx|Non-fatal heart attacks", US_national_yearly!$D:$AM, 10, FALSE), 1)</f>
        <v>2.7361617260226551E-4</v>
      </c>
      <c r="X13" s="7">
        <f>$B13 * IFERROR(VLOOKUP("electricity|NOx|Non-fatal heart attacks", US_national_yearly!$D:$AM, 32, FALSE) / VLOOKUP("electricity|NOx|Non-fatal heart attacks", US_national_yearly!$D:$AM, 10, FALSE), 1)</f>
        <v>2.7452230228642503E-4</v>
      </c>
      <c r="Y13" s="7">
        <f>$B13 * IFERROR(VLOOKUP("electricity|NOx|Non-fatal heart attacks", US_national_yearly!$D:$AM, 33, FALSE) / VLOOKUP("electricity|NOx|Non-fatal heart attacks", US_national_yearly!$D:$AM, 10, FALSE), 1)</f>
        <v>2.7542843197058466E-4</v>
      </c>
      <c r="Z13" s="7">
        <f>$B13 * IFERROR(VLOOKUP("electricity|NOx|Non-fatal heart attacks", US_national_yearly!$D:$AM, 34, FALSE) / VLOOKUP("electricity|NOx|Non-fatal heart attacks", US_national_yearly!$D:$AM, 10, FALSE), 1)</f>
        <v>2.7633456165474424E-4</v>
      </c>
      <c r="AA13" s="7">
        <f>$B13 * IFERROR(VLOOKUP("electricity|NOx|Non-fatal heart attacks", US_national_yearly!$D:$AM, 35, FALSE) / VLOOKUP("electricity|NOx|Non-fatal heart attacks", US_national_yearly!$D:$AM, 10, FALSE), 1)</f>
        <v>2.7724069133890376E-4</v>
      </c>
      <c r="AB13" s="7">
        <f>$B13 * IFERROR(VLOOKUP("electricity|NOx|Non-fatal heart attacks", US_national_yearly!$D:$AM, 36, FALSE) / VLOOKUP("electricity|NOx|Non-fatal heart attacks", US_national_yearly!$D:$AM, 10, FALSE), 1)</f>
        <v>2.7814682102306339E-4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0.16248123449452687</v>
      </c>
      <c r="C14" s="7">
        <f>$B14 * IFERROR(VLOOKUP("electricity|NOx|Minor restricted activity days", US_national_yearly!$D:$AM, 11, FALSE) / VLOOKUP("electricity|NOx|Minor restricted activity days", US_national_yearly!$D:$AM, 10, FALSE), 1)</f>
        <v>0.16273035370321759</v>
      </c>
      <c r="D14" s="7">
        <f>$B14 * IFERROR(VLOOKUP("electricity|NOx|Minor restricted activity days", US_national_yearly!$D:$AM, 12, FALSE) / VLOOKUP("electricity|NOx|Minor restricted activity days", US_national_yearly!$D:$AM, 10, FALSE), 1)</f>
        <v>0.16297947291190834</v>
      </c>
      <c r="E14" s="7">
        <f>$B14 * IFERROR(VLOOKUP("electricity|NOx|Minor restricted activity days", US_national_yearly!$D:$AM, 13, FALSE) / VLOOKUP("electricity|NOx|Minor restricted activity days", US_national_yearly!$D:$AM, 10, FALSE), 1)</f>
        <v>0.16322859212059906</v>
      </c>
      <c r="F14" s="7">
        <f>$B14 * IFERROR(VLOOKUP("electricity|NOx|Minor restricted activity days", US_national_yearly!$D:$AM, 14, FALSE) / VLOOKUP("electricity|NOx|Minor restricted activity days", US_national_yearly!$D:$AM, 10, FALSE), 1)</f>
        <v>0.16347771132928984</v>
      </c>
      <c r="G14" s="7">
        <f>$B14 * IFERROR(VLOOKUP("electricity|NOx|Minor restricted activity days", US_national_yearly!$D:$AM, 15, FALSE) / VLOOKUP("electricity|NOx|Minor restricted activity days", US_national_yearly!$D:$AM, 10, FALSE), 1)</f>
        <v>0.16391226228586131</v>
      </c>
      <c r="H14" s="7">
        <f>$B14 * IFERROR(VLOOKUP("electricity|NOx|Minor restricted activity days", US_national_yearly!$D:$AM, 16, FALSE) / VLOOKUP("electricity|NOx|Minor restricted activity days", US_national_yearly!$D:$AM, 10, FALSE), 1)</f>
        <v>0.16434681324243278</v>
      </c>
      <c r="I14" s="7">
        <f>$B14 * IFERROR(VLOOKUP("electricity|NOx|Minor restricted activity days", US_national_yearly!$D:$AM, 17, FALSE) / VLOOKUP("electricity|NOx|Minor restricted activity days", US_national_yearly!$D:$AM, 10, FALSE), 1)</f>
        <v>0.1652065693671656</v>
      </c>
      <c r="J14" s="7">
        <f>$B14 * IFERROR(VLOOKUP("electricity|NOx|Minor restricted activity days", US_national_yearly!$D:$AM, 18, FALSE) / VLOOKUP("electricity|NOx|Minor restricted activity days", US_national_yearly!$D:$AM, 10, FALSE), 1)</f>
        <v>0.16606632549189834</v>
      </c>
      <c r="K14" s="7">
        <f>$B14 * IFERROR(VLOOKUP("electricity|NOx|Minor restricted activity days", US_national_yearly!$D:$AM, 19, FALSE) / VLOOKUP("electricity|NOx|Minor restricted activity days", US_national_yearly!$D:$AM, 10, FALSE), 1)</f>
        <v>0.16692608161663117</v>
      </c>
      <c r="L14" s="7">
        <f>$B14 * IFERROR(VLOOKUP("electricity|NOx|Minor restricted activity days", US_national_yearly!$D:$AM, 20, FALSE) / VLOOKUP("electricity|NOx|Minor restricted activity days", US_national_yearly!$D:$AM, 10, FALSE), 1)</f>
        <v>0.16778583774136394</v>
      </c>
      <c r="M14" s="7">
        <f>$B14 * IFERROR(VLOOKUP("electricity|NOx|Minor restricted activity days", US_national_yearly!$D:$AM, 21, FALSE) / VLOOKUP("electricity|NOx|Minor restricted activity days", US_national_yearly!$D:$AM, 10, FALSE), 1)</f>
        <v>0.16864559386609673</v>
      </c>
      <c r="N14" s="7">
        <f>$B14 * IFERROR(VLOOKUP("electricity|NOx|Minor restricted activity days", US_national_yearly!$D:$AM, 22, FALSE) / VLOOKUP("electricity|NOx|Minor restricted activity days", US_national_yearly!$D:$AM, 10, FALSE), 1)</f>
        <v>0.1698888734594737</v>
      </c>
      <c r="O14" s="7">
        <f>$B14 * IFERROR(VLOOKUP("electricity|NOx|Minor restricted activity days", US_national_yearly!$D:$AM, 23, FALSE) / VLOOKUP("electricity|NOx|Minor restricted activity days", US_national_yearly!$D:$AM, 10, FALSE), 1)</f>
        <v>0.17113215305285065</v>
      </c>
      <c r="P14" s="7">
        <f>$B14 * IFERROR(VLOOKUP("electricity|NOx|Minor restricted activity days", US_national_yearly!$D:$AM, 24, FALSE) / VLOOKUP("electricity|NOx|Minor restricted activity days", US_national_yearly!$D:$AM, 10, FALSE), 1)</f>
        <v>0.17237543264622757</v>
      </c>
      <c r="Q14" s="7">
        <f>$B14 * IFERROR(VLOOKUP("electricity|NOx|Minor restricted activity days", US_national_yearly!$D:$AM, 25, FALSE) / VLOOKUP("electricity|NOx|Minor restricted activity days", US_national_yearly!$D:$AM, 10, FALSE), 1)</f>
        <v>0.17361871223960454</v>
      </c>
      <c r="R14" s="7">
        <f>$B14 * IFERROR(VLOOKUP("electricity|NOx|Minor restricted activity days", US_national_yearly!$D:$AM, 26, FALSE) / VLOOKUP("electricity|NOx|Minor restricted activity days", US_national_yearly!$D:$AM, 10, FALSE), 1)</f>
        <v>0.17486199183298151</v>
      </c>
      <c r="S14" s="7">
        <f>$B14 * IFERROR(VLOOKUP("electricity|NOx|Minor restricted activity days", US_national_yearly!$D:$AM, 27, FALSE) / VLOOKUP("electricity|NOx|Minor restricted activity days", US_national_yearly!$D:$AM, 10, FALSE), 1)</f>
        <v>0.17611467350749069</v>
      </c>
      <c r="T14" s="7">
        <f>$B14 * IFERROR(VLOOKUP("electricity|NOx|Minor restricted activity days", US_national_yearly!$D:$AM, 28, FALSE) / VLOOKUP("electricity|NOx|Minor restricted activity days", US_national_yearly!$D:$AM, 10, FALSE), 1)</f>
        <v>0.17736735518199986</v>
      </c>
      <c r="U14" s="7">
        <f>$B14 * IFERROR(VLOOKUP("electricity|NOx|Minor restricted activity days", US_national_yearly!$D:$AM, 29, FALSE) / VLOOKUP("electricity|NOx|Minor restricted activity days", US_national_yearly!$D:$AM, 10, FALSE), 1)</f>
        <v>0.1786200368565091</v>
      </c>
      <c r="V14" s="7">
        <f>$B14 * IFERROR(VLOOKUP("electricity|NOx|Minor restricted activity days", US_national_yearly!$D:$AM, 30, FALSE) / VLOOKUP("electricity|NOx|Minor restricted activity days", US_national_yearly!$D:$AM, 10, FALSE), 1)</f>
        <v>0.17987271853101827</v>
      </c>
      <c r="W14" s="7">
        <f>$B14 * IFERROR(VLOOKUP("electricity|NOx|Minor restricted activity days", US_national_yearly!$D:$AM, 31, FALSE) / VLOOKUP("electricity|NOx|Minor restricted activity days", US_national_yearly!$D:$AM, 10, FALSE), 1)</f>
        <v>0.18112540020552745</v>
      </c>
      <c r="X14" s="7">
        <f>$B14 * IFERROR(VLOOKUP("electricity|NOx|Minor restricted activity days", US_national_yearly!$D:$AM, 32, FALSE) / VLOOKUP("electricity|NOx|Minor restricted activity days", US_national_yearly!$D:$AM, 10, FALSE), 1)</f>
        <v>0.18218479766729584</v>
      </c>
      <c r="Y14" s="7">
        <f>$B14 * IFERROR(VLOOKUP("electricity|NOx|Minor restricted activity days", US_national_yearly!$D:$AM, 33, FALSE) / VLOOKUP("electricity|NOx|Minor restricted activity days", US_national_yearly!$D:$AM, 10, FALSE), 1)</f>
        <v>0.18324419512906409</v>
      </c>
      <c r="Z14" s="7">
        <f>$B14 * IFERROR(VLOOKUP("electricity|NOx|Minor restricted activity days", US_national_yearly!$D:$AM, 34, FALSE) / VLOOKUP("electricity|NOx|Minor restricted activity days", US_national_yearly!$D:$AM, 10, FALSE), 1)</f>
        <v>0.18430359259083262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0.18536299005260096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0.18642238751436932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2.7633374100448829E-2</v>
      </c>
      <c r="C15" s="7">
        <f>$B15 * IFERROR(VLOOKUP("electricity|NOx|Work loss days", US_national_yearly!$D:$AM, 11, FALSE) / VLOOKUP("electricity|NOx|Work loss days", US_national_yearly!$D:$AM, 10, FALSE), 1)</f>
        <v>2.7695006400870741E-2</v>
      </c>
      <c r="D15" s="7">
        <f>$B15 * IFERROR(VLOOKUP("electricity|NOx|Work loss days", US_national_yearly!$D:$AM, 12, FALSE) / VLOOKUP("electricity|NOx|Work loss days", US_national_yearly!$D:$AM, 10, FALSE), 1)</f>
        <v>2.7756638701292653E-2</v>
      </c>
      <c r="E15" s="7">
        <f>$B15 * IFERROR(VLOOKUP("electricity|NOx|Work loss days", US_national_yearly!$D:$AM, 13, FALSE) / VLOOKUP("electricity|NOx|Work loss days", US_national_yearly!$D:$AM, 10, FALSE), 1)</f>
        <v>2.7818271001714565E-2</v>
      </c>
      <c r="F15" s="7">
        <f>$B15 * IFERROR(VLOOKUP("electricity|NOx|Work loss days", US_national_yearly!$D:$AM, 14, FALSE) / VLOOKUP("electricity|NOx|Work loss days", US_national_yearly!$D:$AM, 10, FALSE), 1)</f>
        <v>2.7879903302136477E-2</v>
      </c>
      <c r="G15" s="7">
        <f>$B15 * IFERROR(VLOOKUP("electricity|NOx|Work loss days", US_national_yearly!$D:$AM, 15, FALSE) / VLOOKUP("electricity|NOx|Work loss days", US_national_yearly!$D:$AM, 10, FALSE), 1)</f>
        <v>2.7966790717030007E-2</v>
      </c>
      <c r="H15" s="7">
        <f>$B15 * IFERROR(VLOOKUP("electricity|NOx|Work loss days", US_national_yearly!$D:$AM, 16, FALSE) / VLOOKUP("electricity|NOx|Work loss days", US_national_yearly!$D:$AM, 10, FALSE), 1)</f>
        <v>2.8053678131923533E-2</v>
      </c>
      <c r="I15" s="7">
        <f>$B15 * IFERROR(VLOOKUP("electricity|NOx|Work loss days", US_national_yearly!$D:$AM, 17, FALSE) / VLOOKUP("electricity|NOx|Work loss days", US_national_yearly!$D:$AM, 10, FALSE), 1)</f>
        <v>2.8194759968998083E-2</v>
      </c>
      <c r="J15" s="7">
        <f>$B15 * IFERROR(VLOOKUP("electricity|NOx|Work loss days", US_national_yearly!$D:$AM, 18, FALSE) / VLOOKUP("electricity|NOx|Work loss days", US_national_yearly!$D:$AM, 10, FALSE), 1)</f>
        <v>2.8335841806072636E-2</v>
      </c>
      <c r="K15" s="7">
        <f>$B15 * IFERROR(VLOOKUP("electricity|NOx|Work loss days", US_national_yearly!$D:$AM, 19, FALSE) / VLOOKUP("electricity|NOx|Work loss days", US_national_yearly!$D:$AM, 10, FALSE), 1)</f>
        <v>2.8476923643147179E-2</v>
      </c>
      <c r="L15" s="7">
        <f>$B15 * IFERROR(VLOOKUP("electricity|NOx|Work loss days", US_national_yearly!$D:$AM, 20, FALSE) / VLOOKUP("electricity|NOx|Work loss days", US_national_yearly!$D:$AM, 10, FALSE), 1)</f>
        <v>2.8618005480221722E-2</v>
      </c>
      <c r="M15" s="7">
        <f>$B15 * IFERROR(VLOOKUP("electricity|NOx|Work loss days", US_national_yearly!$D:$AM, 21, FALSE) / VLOOKUP("electricity|NOx|Work loss days", US_national_yearly!$D:$AM, 10, FALSE), 1)</f>
        <v>2.8759087317296265E-2</v>
      </c>
      <c r="N15" s="7">
        <f>$B15 * IFERROR(VLOOKUP("electricity|NOx|Work loss days", US_national_yearly!$D:$AM, 22, FALSE) / VLOOKUP("electricity|NOx|Work loss days", US_national_yearly!$D:$AM, 10, FALSE), 1)</f>
        <v>2.8945226328423657E-2</v>
      </c>
      <c r="O15" s="7">
        <f>$B15 * IFERROR(VLOOKUP("electricity|NOx|Work loss days", US_national_yearly!$D:$AM, 23, FALSE) / VLOOKUP("electricity|NOx|Work loss days", US_national_yearly!$D:$AM, 10, FALSE), 1)</f>
        <v>2.9131365339551043E-2</v>
      </c>
      <c r="P15" s="7">
        <f>$B15 * IFERROR(VLOOKUP("electricity|NOx|Work loss days", US_national_yearly!$D:$AM, 24, FALSE) / VLOOKUP("electricity|NOx|Work loss days", US_national_yearly!$D:$AM, 10, FALSE), 1)</f>
        <v>2.9317504350678432E-2</v>
      </c>
      <c r="Q15" s="7">
        <f>$B15 * IFERROR(VLOOKUP("electricity|NOx|Work loss days", US_national_yearly!$D:$AM, 25, FALSE) / VLOOKUP("electricity|NOx|Work loss days", US_national_yearly!$D:$AM, 10, FALSE), 1)</f>
        <v>2.9503643361805821E-2</v>
      </c>
      <c r="R15" s="7">
        <f>$B15 * IFERROR(VLOOKUP("electricity|NOx|Work loss days", US_national_yearly!$D:$AM, 26, FALSE) / VLOOKUP("electricity|NOx|Work loss days", US_national_yearly!$D:$AM, 10, FALSE), 1)</f>
        <v>2.96897823729332E-2</v>
      </c>
      <c r="S15" s="7">
        <f>$B15 * IFERROR(VLOOKUP("electricity|NOx|Work loss days", US_national_yearly!$D:$AM, 27, FALSE) / VLOOKUP("electricity|NOx|Work loss days", US_national_yearly!$D:$AM, 10, FALSE), 1)</f>
        <v>2.9898374837869231E-2</v>
      </c>
      <c r="T15" s="7">
        <f>$B15 * IFERROR(VLOOKUP("electricity|NOx|Work loss days", US_national_yearly!$D:$AM, 28, FALSE) / VLOOKUP("electricity|NOx|Work loss days", US_national_yearly!$D:$AM, 10, FALSE), 1)</f>
        <v>3.0106967302805255E-2</v>
      </c>
      <c r="U15" s="7">
        <f>$B15 * IFERROR(VLOOKUP("electricity|NOx|Work loss days", US_national_yearly!$D:$AM, 29, FALSE) / VLOOKUP("electricity|NOx|Work loss days", US_national_yearly!$D:$AM, 10, FALSE), 1)</f>
        <v>3.0315559767741279E-2</v>
      </c>
      <c r="V15" s="7">
        <f>$B15 * IFERROR(VLOOKUP("electricity|NOx|Work loss days", US_national_yearly!$D:$AM, 30, FALSE) / VLOOKUP("electricity|NOx|Work loss days", US_national_yearly!$D:$AM, 10, FALSE), 1)</f>
        <v>3.0524152232677303E-2</v>
      </c>
      <c r="W15" s="7">
        <f>$B15 * IFERROR(VLOOKUP("electricity|NOx|Work loss days", US_national_yearly!$D:$AM, 31, FALSE) / VLOOKUP("electricity|NOx|Work loss days", US_national_yearly!$D:$AM, 10, FALSE), 1)</f>
        <v>3.0732744697613331E-2</v>
      </c>
      <c r="X15" s="7">
        <f>$B15 * IFERROR(VLOOKUP("electricity|NOx|Work loss days", US_national_yearly!$D:$AM, 32, FALSE) / VLOOKUP("electricity|NOx|Work loss days", US_national_yearly!$D:$AM, 10, FALSE), 1)</f>
        <v>3.0914575652430255E-2</v>
      </c>
      <c r="Y15" s="7">
        <f>$B15 * IFERROR(VLOOKUP("electricity|NOx|Work loss days", US_national_yearly!$D:$AM, 33, FALSE) / VLOOKUP("electricity|NOx|Work loss days", US_national_yearly!$D:$AM, 10, FALSE), 1)</f>
        <v>3.1096406607247176E-2</v>
      </c>
      <c r="Z15" s="7">
        <f>$B15 * IFERROR(VLOOKUP("electricity|NOx|Work loss days", US_national_yearly!$D:$AM, 34, FALSE) / VLOOKUP("electricity|NOx|Work loss days", US_national_yearly!$D:$AM, 10, FALSE), 1)</f>
        <v>3.1278237562064104E-2</v>
      </c>
      <c r="AA15" s="7">
        <f>$B15 * IFERROR(VLOOKUP("electricity|NOx|Work loss days", US_national_yearly!$D:$AM, 35, FALSE) / VLOOKUP("electricity|NOx|Work loss days", US_national_yearly!$D:$AM, 10, FALSE), 1)</f>
        <v>3.1460068516881032E-2</v>
      </c>
      <c r="AB15" s="7">
        <f>$B15 * IFERROR(VLOOKUP("electricity|NOx|Work loss days", US_national_yearly!$D:$AM, 36, FALSE) / VLOOKUP("electricity|NOx|Work loss days", US_national_yearly!$D:$AM, 10, FALSE), 1)</f>
        <v>3.1641899471697953E-2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4.7184044568119378E-5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4.8573927671635077E-5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4.9963810775150789E-5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5.1353693878666494E-5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5.2743576982182206E-5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5.4074497969029446E-5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5.540541895587668E-5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5.6541428340641405E-5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5.7677437725406137E-5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5.8813447110170869E-5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5.99494564949356E-5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6.1085465879700325E-5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6.1814525035207952E-5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6.2543584190715578E-5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6.3272643346223191E-5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6.4001702501730818E-5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6.4730761657238444E-5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6.5089544516015285E-5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6.5448327374792112E-5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6.5807110233568952E-5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6.6165893092345792E-5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6.6524675951122632E-5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6.6739708146263158E-5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6.6954740341403698E-5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6.7169772536544223E-5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6.7384804731684763E-5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6.7599836926825289E-5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4.453111311718389E-3</v>
      </c>
      <c r="C2" s="7">
        <f>$B2 * IFERROR(VLOOKUP("electricity|SO2|Premature mortality", US_national_yearly!$D:$AM, 11, FALSE) / VLOOKUP("electricity|SO2|Premature mortality", US_national_yearly!$D:$AM, 10, FALSE), 1)</f>
        <v>4.510201226096397E-3</v>
      </c>
      <c r="D2" s="7">
        <f>$B2 * IFERROR(VLOOKUP("electricity|SO2|Premature mortality", US_national_yearly!$D:$AM, 12, FALSE) / VLOOKUP("electricity|SO2|Premature mortality", US_national_yearly!$D:$AM, 10, FALSE), 1)</f>
        <v>4.5672911404744032E-3</v>
      </c>
      <c r="E2" s="7">
        <f>$B2 * IFERROR(VLOOKUP("electricity|SO2|Premature mortality", US_national_yearly!$D:$AM, 13, FALSE) / VLOOKUP("electricity|SO2|Premature mortality", US_national_yearly!$D:$AM, 10, FALSE), 1)</f>
        <v>4.6243810548524111E-3</v>
      </c>
      <c r="F2" s="7">
        <f>$B2 * IFERROR(VLOOKUP("electricity|SO2|Premature mortality", US_national_yearly!$D:$AM, 14, FALSE) / VLOOKUP("electricity|SO2|Premature mortality", US_national_yearly!$D:$AM, 10, FALSE), 1)</f>
        <v>4.6814709692304182E-3</v>
      </c>
      <c r="G2" s="7">
        <f>$B2 * IFERROR(VLOOKUP("electricity|SO2|Premature mortality", US_national_yearly!$D:$AM, 15, FALSE) / VLOOKUP("electricity|SO2|Premature mortality", US_national_yearly!$D:$AM, 10, FALSE), 1)</f>
        <v>4.7914490428367503E-3</v>
      </c>
      <c r="H2" s="7">
        <f>$B2 * IFERROR(VLOOKUP("electricity|SO2|Premature mortality", US_national_yearly!$D:$AM, 16, FALSE) / VLOOKUP("electricity|SO2|Premature mortality", US_national_yearly!$D:$AM, 10, FALSE), 1)</f>
        <v>4.9014271164430807E-3</v>
      </c>
      <c r="I2" s="7">
        <f>$B2 * IFERROR(VLOOKUP("electricity|SO2|Premature mortality", US_national_yearly!$D:$AM, 17, FALSE) / VLOOKUP("electricity|SO2|Premature mortality", US_national_yearly!$D:$AM, 10, FALSE), 1)</f>
        <v>4.9754575497597169E-3</v>
      </c>
      <c r="J2" s="7">
        <f>$B2 * IFERROR(VLOOKUP("electricity|SO2|Premature mortality", US_national_yearly!$D:$AM, 18, FALSE) / VLOOKUP("electricity|SO2|Premature mortality", US_national_yearly!$D:$AM, 10, FALSE), 1)</f>
        <v>5.049487983076353E-3</v>
      </c>
      <c r="K2" s="7">
        <f>$B2 * IFERROR(VLOOKUP("electricity|SO2|Premature mortality", US_national_yearly!$D:$AM, 19, FALSE) / VLOOKUP("electricity|SO2|Premature mortality", US_national_yearly!$D:$AM, 10, FALSE), 1)</f>
        <v>5.1235184163929883E-3</v>
      </c>
      <c r="L2" s="7">
        <f>$B2 * IFERROR(VLOOKUP("electricity|SO2|Premature mortality", US_national_yearly!$D:$AM, 20, FALSE) / VLOOKUP("electricity|SO2|Premature mortality", US_national_yearly!$D:$AM, 10, FALSE), 1)</f>
        <v>5.1975488497096262E-3</v>
      </c>
      <c r="M2" s="7">
        <f>$B2 * IFERROR(VLOOKUP("electricity|SO2|Premature mortality", US_national_yearly!$D:$AM, 21, FALSE) / VLOOKUP("electricity|SO2|Premature mortality", US_national_yearly!$D:$AM, 10, FALSE), 1)</f>
        <v>5.2715792830262606E-3</v>
      </c>
      <c r="N2" s="7">
        <f>$B2 * IFERROR(VLOOKUP("electricity|SO2|Premature mortality", US_national_yearly!$D:$AM, 22, FALSE) / VLOOKUP("electricity|SO2|Premature mortality", US_national_yearly!$D:$AM, 10, FALSE), 1)</f>
        <v>5.3309087747812527E-3</v>
      </c>
      <c r="O2" s="7">
        <f>$B2 * IFERROR(VLOOKUP("electricity|SO2|Premature mortality", US_national_yearly!$D:$AM, 23, FALSE) / VLOOKUP("electricity|SO2|Premature mortality", US_national_yearly!$D:$AM, 10, FALSE), 1)</f>
        <v>5.3902382665362448E-3</v>
      </c>
      <c r="P2" s="7">
        <f>$B2 * IFERROR(VLOOKUP("electricity|SO2|Premature mortality", US_national_yearly!$D:$AM, 24, FALSE) / VLOOKUP("electricity|SO2|Premature mortality", US_national_yearly!$D:$AM, 10, FALSE), 1)</f>
        <v>5.4495677582912351E-3</v>
      </c>
      <c r="Q2" s="7">
        <f>$B2 * IFERROR(VLOOKUP("electricity|SO2|Premature mortality", US_national_yearly!$D:$AM, 25, FALSE) / VLOOKUP("electricity|SO2|Premature mortality", US_national_yearly!$D:$AM, 10, FALSE), 1)</f>
        <v>5.5088972500462264E-3</v>
      </c>
      <c r="R2" s="7">
        <f>$B2 * IFERROR(VLOOKUP("electricity|SO2|Premature mortality", US_national_yearly!$D:$AM, 26, FALSE) / VLOOKUP("electricity|SO2|Premature mortality", US_national_yearly!$D:$AM, 10, FALSE), 1)</f>
        <v>5.5682267418012184E-3</v>
      </c>
      <c r="S2" s="7">
        <f>$B2 * IFERROR(VLOOKUP("electricity|SO2|Premature mortality", US_national_yearly!$D:$AM, 27, FALSE) / VLOOKUP("electricity|SO2|Premature mortality", US_national_yearly!$D:$AM, 10, FALSE), 1)</f>
        <v>5.6022420724118468E-3</v>
      </c>
      <c r="T2" s="7">
        <f>$B2 * IFERROR(VLOOKUP("electricity|SO2|Premature mortality", US_national_yearly!$D:$AM, 28, FALSE) / VLOOKUP("electricity|SO2|Premature mortality", US_national_yearly!$D:$AM, 10, FALSE), 1)</f>
        <v>5.6362574030224761E-3</v>
      </c>
      <c r="U2" s="7">
        <f>$B2 * IFERROR(VLOOKUP("electricity|SO2|Premature mortality", US_national_yearly!$D:$AM, 29, FALSE) / VLOOKUP("electricity|SO2|Premature mortality", US_national_yearly!$D:$AM, 10, FALSE), 1)</f>
        <v>5.6702727336331044E-3</v>
      </c>
      <c r="V2" s="7">
        <f>$B2 * IFERROR(VLOOKUP("electricity|SO2|Premature mortality", US_national_yearly!$D:$AM, 30, FALSE) / VLOOKUP("electricity|SO2|Premature mortality", US_national_yearly!$D:$AM, 10, FALSE), 1)</f>
        <v>5.7042880642437337E-3</v>
      </c>
      <c r="W2" s="7">
        <f>$B2 * IFERROR(VLOOKUP("electricity|SO2|Premature mortality", US_national_yearly!$D:$AM, 31, FALSE) / VLOOKUP("electricity|SO2|Premature mortality", US_national_yearly!$D:$AM, 10, FALSE), 1)</f>
        <v>5.738303394854362E-3</v>
      </c>
      <c r="X2" s="7">
        <f>$B2 * IFERROR(VLOOKUP("electricity|SO2|Premature mortality", US_national_yearly!$D:$AM, 32, FALSE) / VLOOKUP("electricity|SO2|Premature mortality", US_national_yearly!$D:$AM, 10, FALSE), 1)</f>
        <v>5.7483258646765425E-3</v>
      </c>
      <c r="Y2" s="7">
        <f>$B2 * IFERROR(VLOOKUP("electricity|SO2|Premature mortality", US_national_yearly!$D:$AM, 33, FALSE) / VLOOKUP("electricity|SO2|Premature mortality", US_national_yearly!$D:$AM, 10, FALSE), 1)</f>
        <v>5.7583483344987221E-3</v>
      </c>
      <c r="Z2" s="7">
        <f>$B2 * IFERROR(VLOOKUP("electricity|SO2|Premature mortality", US_national_yearly!$D:$AM, 34, FALSE) / VLOOKUP("electricity|SO2|Premature mortality", US_national_yearly!$D:$AM, 10, FALSE), 1)</f>
        <v>5.7683708043209016E-3</v>
      </c>
      <c r="AA2" s="7">
        <f>$B2 * IFERROR(VLOOKUP("electricity|SO2|Premature mortality", US_national_yearly!$D:$AM, 35, FALSE) / VLOOKUP("electricity|SO2|Premature mortality", US_national_yearly!$D:$AM, 10, FALSE), 1)</f>
        <v>5.7783932741430821E-3</v>
      </c>
      <c r="AB2" s="7">
        <f>$B2 * IFERROR(VLOOKUP("electricity|SO2|Premature mortality", US_national_yearly!$D:$AM, 36, FALSE) / VLOOKUP("electricity|SO2|Premature mortality", US_national_yearly!$D:$AM, 10, FALSE), 1)</f>
        <v>5.7884157439652617E-3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8.5089088968534306E-6</v>
      </c>
      <c r="C3" s="7">
        <f>$B3 * IFERROR(VLOOKUP("electricity|SO2|Infant mortality", US_national_yearly!$D:$AM, 11, FALSE) / VLOOKUP("electricity|SO2|Infant mortality", US_national_yearly!$D:$AM, 10, FALSE), 1)</f>
        <v>8.4370247952193893E-6</v>
      </c>
      <c r="D3" s="7">
        <f>$B3 * IFERROR(VLOOKUP("electricity|SO2|Infant mortality", US_national_yearly!$D:$AM, 12, FALSE) / VLOOKUP("electricity|SO2|Infant mortality", US_national_yearly!$D:$AM, 10, FALSE), 1)</f>
        <v>8.3651406935853462E-6</v>
      </c>
      <c r="E3" s="7">
        <f>$B3 * IFERROR(VLOOKUP("electricity|SO2|Infant mortality", US_national_yearly!$D:$AM, 13, FALSE) / VLOOKUP("electricity|SO2|Infant mortality", US_national_yearly!$D:$AM, 10, FALSE), 1)</f>
        <v>8.2932565919513032E-6</v>
      </c>
      <c r="F3" s="7">
        <f>$B3 * IFERROR(VLOOKUP("electricity|SO2|Infant mortality", US_national_yearly!$D:$AM, 14, FALSE) / VLOOKUP("electricity|SO2|Infant mortality", US_national_yearly!$D:$AM, 10, FALSE), 1)</f>
        <v>8.2213724903172635E-6</v>
      </c>
      <c r="G3" s="7">
        <f>$B3 * IFERROR(VLOOKUP("electricity|SO2|Infant mortality", US_national_yearly!$D:$AM, 15, FALSE) / VLOOKUP("electricity|SO2|Infant mortality", US_national_yearly!$D:$AM, 10, FALSE), 1)</f>
        <v>5.4676385835705485E-6</v>
      </c>
      <c r="H3" s="7">
        <f>$B3 * IFERROR(VLOOKUP("electricity|SO2|Infant mortality", US_national_yearly!$D:$AM, 16, FALSE) / VLOOKUP("electricity|SO2|Infant mortality", US_national_yearly!$D:$AM, 10, FALSE), 1)</f>
        <v>2.7139046768238336E-6</v>
      </c>
      <c r="I3" s="7">
        <f>$B3 * IFERROR(VLOOKUP("electricity|SO2|Infant mortality", US_national_yearly!$D:$AM, 17, FALSE) / VLOOKUP("electricity|SO2|Infant mortality", US_national_yearly!$D:$AM, 10, FALSE), 1)</f>
        <v>2.6965425241962444E-6</v>
      </c>
      <c r="J3" s="7">
        <f>$B3 * IFERROR(VLOOKUP("electricity|SO2|Infant mortality", US_national_yearly!$D:$AM, 18, FALSE) / VLOOKUP("electricity|SO2|Infant mortality", US_national_yearly!$D:$AM, 10, FALSE), 1)</f>
        <v>2.6791803715686553E-6</v>
      </c>
      <c r="K3" s="7">
        <f>$B3 * IFERROR(VLOOKUP("electricity|SO2|Infant mortality", US_national_yearly!$D:$AM, 19, FALSE) / VLOOKUP("electricity|SO2|Infant mortality", US_national_yearly!$D:$AM, 10, FALSE), 1)</f>
        <v>2.6618182189410666E-6</v>
      </c>
      <c r="L3" s="7">
        <f>$B3 * IFERROR(VLOOKUP("electricity|SO2|Infant mortality", US_national_yearly!$D:$AM, 20, FALSE) / VLOOKUP("electricity|SO2|Infant mortality", US_national_yearly!$D:$AM, 10, FALSE), 1)</f>
        <v>2.6444560663134771E-6</v>
      </c>
      <c r="M3" s="7">
        <f>$B3 * IFERROR(VLOOKUP("electricity|SO2|Infant mortality", US_national_yearly!$D:$AM, 21, FALSE) / VLOOKUP("electricity|SO2|Infant mortality", US_national_yearly!$D:$AM, 10, FALSE), 1)</f>
        <v>2.6270939136858884E-6</v>
      </c>
      <c r="N3" s="7">
        <f>$B3 * IFERROR(VLOOKUP("electricity|SO2|Infant mortality", US_national_yearly!$D:$AM, 22, FALSE) / VLOOKUP("electricity|SO2|Infant mortality", US_national_yearly!$D:$AM, 10, FALSE), 1)</f>
        <v>2.6160924844114646E-6</v>
      </c>
      <c r="O3" s="7">
        <f>$B3 * IFERROR(VLOOKUP("electricity|SO2|Infant mortality", US_national_yearly!$D:$AM, 23, FALSE) / VLOOKUP("electricity|SO2|Infant mortality", US_national_yearly!$D:$AM, 10, FALSE), 1)</f>
        <v>2.6050910551370403E-6</v>
      </c>
      <c r="P3" s="7">
        <f>$B3 * IFERROR(VLOOKUP("electricity|SO2|Infant mortality", US_national_yearly!$D:$AM, 24, FALSE) / VLOOKUP("electricity|SO2|Infant mortality", US_national_yearly!$D:$AM, 10, FALSE), 1)</f>
        <v>2.5940896258626165E-6</v>
      </c>
      <c r="Q3" s="7">
        <f>$B3 * IFERROR(VLOOKUP("electricity|SO2|Infant mortality", US_national_yearly!$D:$AM, 25, FALSE) / VLOOKUP("electricity|SO2|Infant mortality", US_national_yearly!$D:$AM, 10, FALSE), 1)</f>
        <v>2.5830881965881926E-6</v>
      </c>
      <c r="R3" s="7">
        <f>$B3 * IFERROR(VLOOKUP("electricity|SO2|Infant mortality", US_national_yearly!$D:$AM, 26, FALSE) / VLOOKUP("electricity|SO2|Infant mortality", US_national_yearly!$D:$AM, 10, FALSE), 1)</f>
        <v>2.5720867673137688E-6</v>
      </c>
      <c r="S3" s="7">
        <f>$B3 * IFERROR(VLOOKUP("electricity|SO2|Infant mortality", US_national_yearly!$D:$AM, 27, FALSE) / VLOOKUP("electricity|SO2|Infant mortality", US_national_yearly!$D:$AM, 10, FALSE), 1)</f>
        <v>2.558374879723295E-6</v>
      </c>
      <c r="T3" s="7">
        <f>$B3 * IFERROR(VLOOKUP("electricity|SO2|Infant mortality", US_national_yearly!$D:$AM, 28, FALSE) / VLOOKUP("electricity|SO2|Infant mortality", US_national_yearly!$D:$AM, 10, FALSE), 1)</f>
        <v>2.5446629921328215E-6</v>
      </c>
      <c r="U3" s="7">
        <f>$B3 * IFERROR(VLOOKUP("electricity|SO2|Infant mortality", US_national_yearly!$D:$AM, 29, FALSE) / VLOOKUP("electricity|SO2|Infant mortality", US_national_yearly!$D:$AM, 10, FALSE), 1)</f>
        <v>2.5309511045423481E-6</v>
      </c>
      <c r="V3" s="7">
        <f>$B3 * IFERROR(VLOOKUP("electricity|SO2|Infant mortality", US_national_yearly!$D:$AM, 30, FALSE) / VLOOKUP("electricity|SO2|Infant mortality", US_national_yearly!$D:$AM, 10, FALSE), 1)</f>
        <v>2.5172392169518746E-6</v>
      </c>
      <c r="W3" s="7">
        <f>$B3 * IFERROR(VLOOKUP("electricity|SO2|Infant mortality", US_national_yearly!$D:$AM, 31, FALSE) / VLOOKUP("electricity|SO2|Infant mortality", US_national_yearly!$D:$AM, 10, FALSE), 1)</f>
        <v>2.5035273293614008E-6</v>
      </c>
      <c r="X3" s="7">
        <f>$B3 * IFERROR(VLOOKUP("electricity|SO2|Infant mortality", US_national_yearly!$D:$AM, 32, FALSE) / VLOOKUP("electricity|SO2|Infant mortality", US_national_yearly!$D:$AM, 10, FALSE), 1)</f>
        <v>2.4888971468401424E-6</v>
      </c>
      <c r="Y3" s="7">
        <f>$B3 * IFERROR(VLOOKUP("electricity|SO2|Infant mortality", US_national_yearly!$D:$AM, 33, FALSE) / VLOOKUP("electricity|SO2|Infant mortality", US_national_yearly!$D:$AM, 10, FALSE), 1)</f>
        <v>2.4742669643188831E-6</v>
      </c>
      <c r="Z3" s="7">
        <f>$B3 * IFERROR(VLOOKUP("electricity|SO2|Infant mortality", US_national_yearly!$D:$AM, 34, FALSE) / VLOOKUP("electricity|SO2|Infant mortality", US_national_yearly!$D:$AM, 10, FALSE), 1)</f>
        <v>2.4596367817976247E-6</v>
      </c>
      <c r="AA3" s="7">
        <f>$B3 * IFERROR(VLOOKUP("electricity|SO2|Infant mortality", US_national_yearly!$D:$AM, 35, FALSE) / VLOOKUP("electricity|SO2|Infant mortality", US_national_yearly!$D:$AM, 10, FALSE), 1)</f>
        <v>2.4450065992763663E-6</v>
      </c>
      <c r="AB3" s="7">
        <f>$B3 * IFERROR(VLOOKUP("electricity|SO2|Infant mortality", US_national_yearly!$D:$AM, 36, FALSE) / VLOOKUP("electricity|SO2|Infant mortality", US_national_yearly!$D:$AM, 10, FALSE), 1)</f>
        <v>2.4303764167551075E-6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1.10630972236856E-2</v>
      </c>
      <c r="C6" s="7">
        <f>$B6 * IFERROR(VLOOKUP("electricity|SO2|Asthma symptoms cough", US_national_yearly!$D:$AM, 11, FALSE) / VLOOKUP("electricity|SO2|Asthma symptoms cough", US_national_yearly!$D:$AM, 10, FALSE), 1)</f>
        <v>1.10630972236856E-2</v>
      </c>
      <c r="D6" s="7">
        <f>$B6 * IFERROR(VLOOKUP("electricity|SO2|Asthma symptoms cough", US_national_yearly!$D:$AM, 12, FALSE) / VLOOKUP("electricity|SO2|Asthma symptoms cough", US_national_yearly!$D:$AM, 10, FALSE), 1)</f>
        <v>1.10630972236856E-2</v>
      </c>
      <c r="E6" s="7">
        <f>$B6 * IFERROR(VLOOKUP("electricity|SO2|Asthma symptoms cough", US_national_yearly!$D:$AM, 13, FALSE) / VLOOKUP("electricity|SO2|Asthma symptoms cough", US_national_yearly!$D:$AM, 10, FALSE), 1)</f>
        <v>1.10630972236856E-2</v>
      </c>
      <c r="F6" s="7">
        <f>$B6 * IFERROR(VLOOKUP("electricity|SO2|Asthma symptoms cough", US_national_yearly!$D:$AM, 14, FALSE) / VLOOKUP("electricity|SO2|Asthma symptoms cough", US_national_yearly!$D:$AM, 10, FALSE), 1)</f>
        <v>1.10630972236856E-2</v>
      </c>
      <c r="G6" s="7">
        <f>$B6 * IFERROR(VLOOKUP("electricity|SO2|Asthma symptoms cough", US_national_yearly!$D:$AM, 15, FALSE) / VLOOKUP("electricity|SO2|Asthma symptoms cough", US_national_yearly!$D:$AM, 10, FALSE), 1)</f>
        <v>1.10630972236856E-2</v>
      </c>
      <c r="H6" s="7">
        <f>$B6 * IFERROR(VLOOKUP("electricity|SO2|Asthma symptoms cough", US_national_yearly!$D:$AM, 16, FALSE) / VLOOKUP("electricity|SO2|Asthma symptoms cough", US_national_yearly!$D:$AM, 10, FALSE), 1)</f>
        <v>1.10630972236856E-2</v>
      </c>
      <c r="I6" s="7">
        <f>$B6 * IFERROR(VLOOKUP("electricity|SO2|Asthma symptoms cough", US_national_yearly!$D:$AM, 17, FALSE) / VLOOKUP("electricity|SO2|Asthma symptoms cough", US_national_yearly!$D:$AM, 10, FALSE), 1)</f>
        <v>1.10630972236856E-2</v>
      </c>
      <c r="J6" s="7">
        <f>$B6 * IFERROR(VLOOKUP("electricity|SO2|Asthma symptoms cough", US_national_yearly!$D:$AM, 18, FALSE) / VLOOKUP("electricity|SO2|Asthma symptoms cough", US_national_yearly!$D:$AM, 10, FALSE), 1)</f>
        <v>1.10630972236856E-2</v>
      </c>
      <c r="K6" s="7">
        <f>$B6 * IFERROR(VLOOKUP("electricity|SO2|Asthma symptoms cough", US_national_yearly!$D:$AM, 19, FALSE) / VLOOKUP("electricity|SO2|Asthma symptoms cough", US_national_yearly!$D:$AM, 10, FALSE), 1)</f>
        <v>1.10630972236856E-2</v>
      </c>
      <c r="L6" s="7">
        <f>$B6 * IFERROR(VLOOKUP("electricity|SO2|Asthma symptoms cough", US_national_yearly!$D:$AM, 20, FALSE) / VLOOKUP("electricity|SO2|Asthma symptoms cough", US_national_yearly!$D:$AM, 10, FALSE), 1)</f>
        <v>1.10630972236856E-2</v>
      </c>
      <c r="M6" s="7">
        <f>$B6 * IFERROR(VLOOKUP("electricity|SO2|Asthma symptoms cough", US_national_yearly!$D:$AM, 21, FALSE) / VLOOKUP("electricity|SO2|Asthma symptoms cough", US_national_yearly!$D:$AM, 10, FALSE), 1)</f>
        <v>1.10630972236856E-2</v>
      </c>
      <c r="N6" s="7">
        <f>$B6 * IFERROR(VLOOKUP("electricity|SO2|Asthma symptoms cough", US_national_yearly!$D:$AM, 22, FALSE) / VLOOKUP("electricity|SO2|Asthma symptoms cough", US_national_yearly!$D:$AM, 10, FALSE), 1)</f>
        <v>1.10630972236856E-2</v>
      </c>
      <c r="O6" s="7">
        <f>$B6 * IFERROR(VLOOKUP("electricity|SO2|Asthma symptoms cough", US_national_yearly!$D:$AM, 23, FALSE) / VLOOKUP("electricity|SO2|Asthma symptoms cough", US_national_yearly!$D:$AM, 10, FALSE), 1)</f>
        <v>1.10630972236856E-2</v>
      </c>
      <c r="P6" s="7">
        <f>$B6 * IFERROR(VLOOKUP("electricity|SO2|Asthma symptoms cough", US_national_yearly!$D:$AM, 24, FALSE) / VLOOKUP("electricity|SO2|Asthma symptoms cough", US_national_yearly!$D:$AM, 10, FALSE), 1)</f>
        <v>1.10630972236856E-2</v>
      </c>
      <c r="Q6" s="7">
        <f>$B6 * IFERROR(VLOOKUP("electricity|SO2|Asthma symptoms cough", US_national_yearly!$D:$AM, 25, FALSE) / VLOOKUP("electricity|SO2|Asthma symptoms cough", US_national_yearly!$D:$AM, 10, FALSE), 1)</f>
        <v>1.10630972236856E-2</v>
      </c>
      <c r="R6" s="7">
        <f>$B6 * IFERROR(VLOOKUP("electricity|SO2|Asthma symptoms cough", US_national_yearly!$D:$AM, 26, FALSE) / VLOOKUP("electricity|SO2|Asthma symptoms cough", US_national_yearly!$D:$AM, 10, FALSE), 1)</f>
        <v>1.10630972236856E-2</v>
      </c>
      <c r="S6" s="7">
        <f>$B6 * IFERROR(VLOOKUP("electricity|SO2|Asthma symptoms cough", US_national_yearly!$D:$AM, 27, FALSE) / VLOOKUP("electricity|SO2|Asthma symptoms cough", US_national_yearly!$D:$AM, 10, FALSE), 1)</f>
        <v>1.10630972236856E-2</v>
      </c>
      <c r="T6" s="7">
        <f>$B6 * IFERROR(VLOOKUP("electricity|SO2|Asthma symptoms cough", US_national_yearly!$D:$AM, 28, FALSE) / VLOOKUP("electricity|SO2|Asthma symptoms cough", US_national_yearly!$D:$AM, 10, FALSE), 1)</f>
        <v>1.10630972236856E-2</v>
      </c>
      <c r="U6" s="7">
        <f>$B6 * IFERROR(VLOOKUP("electricity|SO2|Asthma symptoms cough", US_national_yearly!$D:$AM, 29, FALSE) / VLOOKUP("electricity|SO2|Asthma symptoms cough", US_national_yearly!$D:$AM, 10, FALSE), 1)</f>
        <v>1.10630972236856E-2</v>
      </c>
      <c r="V6" s="7">
        <f>$B6 * IFERROR(VLOOKUP("electricity|SO2|Asthma symptoms cough", US_national_yearly!$D:$AM, 30, FALSE) / VLOOKUP("electricity|SO2|Asthma symptoms cough", US_national_yearly!$D:$AM, 10, FALSE), 1)</f>
        <v>1.10630972236856E-2</v>
      </c>
      <c r="W6" s="7">
        <f>$B6 * IFERROR(VLOOKUP("electricity|SO2|Asthma symptoms cough", US_national_yearly!$D:$AM, 31, FALSE) / VLOOKUP("electricity|SO2|Asthma symptoms cough", US_national_yearly!$D:$AM, 10, FALSE), 1)</f>
        <v>1.10630972236856E-2</v>
      </c>
      <c r="X6" s="7">
        <f>$B6 * IFERROR(VLOOKUP("electricity|SO2|Asthma symptoms cough", US_national_yearly!$D:$AM, 32, FALSE) / VLOOKUP("electricity|SO2|Asthma symptoms cough", US_national_yearly!$D:$AM, 10, FALSE), 1)</f>
        <v>1.10630972236856E-2</v>
      </c>
      <c r="Y6" s="7">
        <f>$B6 * IFERROR(VLOOKUP("electricity|SO2|Asthma symptoms cough", US_national_yearly!$D:$AM, 33, FALSE) / VLOOKUP("electricity|SO2|Asthma symptoms cough", US_national_yearly!$D:$AM, 10, FALSE), 1)</f>
        <v>1.10630972236856E-2</v>
      </c>
      <c r="Z6" s="7">
        <f>$B6 * IFERROR(VLOOKUP("electricity|SO2|Asthma symptoms cough", US_national_yearly!$D:$AM, 34, FALSE) / VLOOKUP("electricity|SO2|Asthma symptoms cough", US_national_yearly!$D:$AM, 10, FALSE), 1)</f>
        <v>1.10630972236856E-2</v>
      </c>
      <c r="AA6" s="7">
        <f>$B6 * IFERROR(VLOOKUP("electricity|SO2|Asthma symptoms cough", US_national_yearly!$D:$AM, 35, FALSE) / VLOOKUP("electricity|SO2|Asthma symptoms cough", US_national_yearly!$D:$AM, 10, FALSE), 1)</f>
        <v>1.10630972236856E-2</v>
      </c>
      <c r="AB6" s="7">
        <f>$B6 * IFERROR(VLOOKUP("electricity|SO2|Asthma symptoms cough", US_national_yearly!$D:$AM, 36, FALSE) / VLOOKUP("electricity|SO2|Asthma symptoms cough", US_national_yearly!$D:$AM, 10, FALSE), 1)</f>
        <v>1.10630972236856E-2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1.4898068990974764E-2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1.4898068990974764E-2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1.4898068990974764E-2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1.4898068990974764E-2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1.4898068990974764E-2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1.4898068990974764E-2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1.4898068990974764E-2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1.4898068990974764E-2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1.4898068990974764E-2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1.4898068990974764E-2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1.4898068990974764E-2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1.4898068990974764E-2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1.4898068990974764E-2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1.4898068990974764E-2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1.4898068990974764E-2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1.4898068990974764E-2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1.4898068990974764E-2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1.4898068990974764E-2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1.4898068990974764E-2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1.4898068990974764E-2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1.4898068990974764E-2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1.4898068990974764E-2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1.4898068990974764E-2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1.4898068990974764E-2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1.4898068990974764E-2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1.4898068990974764E-2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1.4898068990974764E-2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2.2761712871659224E-2</v>
      </c>
      <c r="C8" s="7">
        <f>$B8 * IFERROR(VLOOKUP("electricity|SO2|Asthma symptoms wheeze", US_national_yearly!$D:$AM, 11, FALSE) / VLOOKUP("electricity|SO2|Asthma symptoms wheeze", US_national_yearly!$D:$AM, 10, FALSE), 1)</f>
        <v>2.2761712871659224E-2</v>
      </c>
      <c r="D8" s="7">
        <f>$B8 * IFERROR(VLOOKUP("electricity|SO2|Asthma symptoms wheeze", US_national_yearly!$D:$AM, 12, FALSE) / VLOOKUP("electricity|SO2|Asthma symptoms wheeze", US_national_yearly!$D:$AM, 10, FALSE), 1)</f>
        <v>2.2761712871659224E-2</v>
      </c>
      <c r="E8" s="7">
        <f>$B8 * IFERROR(VLOOKUP("electricity|SO2|Asthma symptoms wheeze", US_national_yearly!$D:$AM, 13, FALSE) / VLOOKUP("electricity|SO2|Asthma symptoms wheeze", US_national_yearly!$D:$AM, 10, FALSE), 1)</f>
        <v>2.2761712871659224E-2</v>
      </c>
      <c r="F8" s="7">
        <f>$B8 * IFERROR(VLOOKUP("electricity|SO2|Asthma symptoms wheeze", US_national_yearly!$D:$AM, 14, FALSE) / VLOOKUP("electricity|SO2|Asthma symptoms wheeze", US_national_yearly!$D:$AM, 10, FALSE), 1)</f>
        <v>2.2761712871659224E-2</v>
      </c>
      <c r="G8" s="7">
        <f>$B8 * IFERROR(VLOOKUP("electricity|SO2|Asthma symptoms wheeze", US_national_yearly!$D:$AM, 15, FALSE) / VLOOKUP("electricity|SO2|Asthma symptoms wheeze", US_national_yearly!$D:$AM, 10, FALSE), 1)</f>
        <v>2.2761712871659224E-2</v>
      </c>
      <c r="H8" s="7">
        <f>$B8 * IFERROR(VLOOKUP("electricity|SO2|Asthma symptoms wheeze", US_national_yearly!$D:$AM, 16, FALSE) / VLOOKUP("electricity|SO2|Asthma symptoms wheeze", US_national_yearly!$D:$AM, 10, FALSE), 1)</f>
        <v>2.2761712871659224E-2</v>
      </c>
      <c r="I8" s="7">
        <f>$B8 * IFERROR(VLOOKUP("electricity|SO2|Asthma symptoms wheeze", US_national_yearly!$D:$AM, 17, FALSE) / VLOOKUP("electricity|SO2|Asthma symptoms wheeze", US_national_yearly!$D:$AM, 10, FALSE), 1)</f>
        <v>2.2761712871659224E-2</v>
      </c>
      <c r="J8" s="7">
        <f>$B8 * IFERROR(VLOOKUP("electricity|SO2|Asthma symptoms wheeze", US_national_yearly!$D:$AM, 18, FALSE) / VLOOKUP("electricity|SO2|Asthma symptoms wheeze", US_national_yearly!$D:$AM, 10, FALSE), 1)</f>
        <v>2.2761712871659224E-2</v>
      </c>
      <c r="K8" s="7">
        <f>$B8 * IFERROR(VLOOKUP("electricity|SO2|Asthma symptoms wheeze", US_national_yearly!$D:$AM, 19, FALSE) / VLOOKUP("electricity|SO2|Asthma symptoms wheeze", US_national_yearly!$D:$AM, 10, FALSE), 1)</f>
        <v>2.2761712871659224E-2</v>
      </c>
      <c r="L8" s="7">
        <f>$B8 * IFERROR(VLOOKUP("electricity|SO2|Asthma symptoms wheeze", US_national_yearly!$D:$AM, 20, FALSE) / VLOOKUP("electricity|SO2|Asthma symptoms wheeze", US_national_yearly!$D:$AM, 10, FALSE), 1)</f>
        <v>2.2761712871659224E-2</v>
      </c>
      <c r="M8" s="7">
        <f>$B8 * IFERROR(VLOOKUP("electricity|SO2|Asthma symptoms wheeze", US_national_yearly!$D:$AM, 21, FALSE) / VLOOKUP("electricity|SO2|Asthma symptoms wheeze", US_national_yearly!$D:$AM, 10, FALSE), 1)</f>
        <v>2.2761712871659224E-2</v>
      </c>
      <c r="N8" s="7">
        <f>$B8 * IFERROR(VLOOKUP("electricity|SO2|Asthma symptoms wheeze", US_national_yearly!$D:$AM, 22, FALSE) / VLOOKUP("electricity|SO2|Asthma symptoms wheeze", US_national_yearly!$D:$AM, 10, FALSE), 1)</f>
        <v>2.2761712871659224E-2</v>
      </c>
      <c r="O8" s="7">
        <f>$B8 * IFERROR(VLOOKUP("electricity|SO2|Asthma symptoms wheeze", US_national_yearly!$D:$AM, 23, FALSE) / VLOOKUP("electricity|SO2|Asthma symptoms wheeze", US_national_yearly!$D:$AM, 10, FALSE), 1)</f>
        <v>2.2761712871659224E-2</v>
      </c>
      <c r="P8" s="7">
        <f>$B8 * IFERROR(VLOOKUP("electricity|SO2|Asthma symptoms wheeze", US_national_yearly!$D:$AM, 24, FALSE) / VLOOKUP("electricity|SO2|Asthma symptoms wheeze", US_national_yearly!$D:$AM, 10, FALSE), 1)</f>
        <v>2.2761712871659224E-2</v>
      </c>
      <c r="Q8" s="7">
        <f>$B8 * IFERROR(VLOOKUP("electricity|SO2|Asthma symptoms wheeze", US_national_yearly!$D:$AM, 25, FALSE) / VLOOKUP("electricity|SO2|Asthma symptoms wheeze", US_national_yearly!$D:$AM, 10, FALSE), 1)</f>
        <v>2.2761712871659224E-2</v>
      </c>
      <c r="R8" s="7">
        <f>$B8 * IFERROR(VLOOKUP("electricity|SO2|Asthma symptoms wheeze", US_national_yearly!$D:$AM, 26, FALSE) / VLOOKUP("electricity|SO2|Asthma symptoms wheeze", US_national_yearly!$D:$AM, 10, FALSE), 1)</f>
        <v>2.2761712871659224E-2</v>
      </c>
      <c r="S8" s="7">
        <f>$B8 * IFERROR(VLOOKUP("electricity|SO2|Asthma symptoms wheeze", US_national_yearly!$D:$AM, 27, FALSE) / VLOOKUP("electricity|SO2|Asthma symptoms wheeze", US_national_yearly!$D:$AM, 10, FALSE), 1)</f>
        <v>2.2761712871659224E-2</v>
      </c>
      <c r="T8" s="7">
        <f>$B8 * IFERROR(VLOOKUP("electricity|SO2|Asthma symptoms wheeze", US_national_yearly!$D:$AM, 28, FALSE) / VLOOKUP("electricity|SO2|Asthma symptoms wheeze", US_national_yearly!$D:$AM, 10, FALSE), 1)</f>
        <v>2.2761712871659224E-2</v>
      </c>
      <c r="U8" s="7">
        <f>$B8 * IFERROR(VLOOKUP("electricity|SO2|Asthma symptoms wheeze", US_national_yearly!$D:$AM, 29, FALSE) / VLOOKUP("electricity|SO2|Asthma symptoms wheeze", US_national_yearly!$D:$AM, 10, FALSE), 1)</f>
        <v>2.2761712871659224E-2</v>
      </c>
      <c r="V8" s="7">
        <f>$B8 * IFERROR(VLOOKUP("electricity|SO2|Asthma symptoms wheeze", US_national_yearly!$D:$AM, 30, FALSE) / VLOOKUP("electricity|SO2|Asthma symptoms wheeze", US_national_yearly!$D:$AM, 10, FALSE), 1)</f>
        <v>2.2761712871659224E-2</v>
      </c>
      <c r="W8" s="7">
        <f>$B8 * IFERROR(VLOOKUP("electricity|SO2|Asthma symptoms wheeze", US_national_yearly!$D:$AM, 31, FALSE) / VLOOKUP("electricity|SO2|Asthma symptoms wheeze", US_national_yearly!$D:$AM, 10, FALSE), 1)</f>
        <v>2.2761712871659224E-2</v>
      </c>
      <c r="X8" s="7">
        <f>$B8 * IFERROR(VLOOKUP("electricity|SO2|Asthma symptoms wheeze", US_national_yearly!$D:$AM, 32, FALSE) / VLOOKUP("electricity|SO2|Asthma symptoms wheeze", US_national_yearly!$D:$AM, 10, FALSE), 1)</f>
        <v>2.2761712871659224E-2</v>
      </c>
      <c r="Y8" s="7">
        <f>$B8 * IFERROR(VLOOKUP("electricity|SO2|Asthma symptoms wheeze", US_national_yearly!$D:$AM, 33, FALSE) / VLOOKUP("electricity|SO2|Asthma symptoms wheeze", US_national_yearly!$D:$AM, 10, FALSE), 1)</f>
        <v>2.2761712871659224E-2</v>
      </c>
      <c r="Z8" s="7">
        <f>$B8 * IFERROR(VLOOKUP("electricity|SO2|Asthma symptoms wheeze", US_national_yearly!$D:$AM, 34, FALSE) / VLOOKUP("electricity|SO2|Asthma symptoms wheeze", US_national_yearly!$D:$AM, 10, FALSE), 1)</f>
        <v>2.2761712871659224E-2</v>
      </c>
      <c r="AA8" s="7">
        <f>$B8 * IFERROR(VLOOKUP("electricity|SO2|Asthma symptoms wheeze", US_national_yearly!$D:$AM, 35, FALSE) / VLOOKUP("electricity|SO2|Asthma symptoms wheeze", US_national_yearly!$D:$AM, 10, FALSE), 1)</f>
        <v>2.2761712871659224E-2</v>
      </c>
      <c r="AB8" s="7">
        <f>$B8 * IFERROR(VLOOKUP("electricity|SO2|Asthma symptoms wheeze", US_national_yearly!$D:$AM, 36, FALSE) / VLOOKUP("electricity|SO2|Asthma symptoms wheeze", US_national_yearly!$D:$AM, 10, FALSE), 1)</f>
        <v>2.2761712871659224E-2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3.152617129352982E-4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3.1711848806684434E-4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3.1897526319839059E-4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3.2083203832993673E-4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3.2268881346148297E-4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3.2471213308445893E-4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3.26735452707435E-4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3.2868191575396506E-4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3.3062837880049517E-4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3.3257484184702528E-4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3.3452130489355534E-4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3.3646776794008545E-4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3.3786388880755575E-4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3.3926000967502605E-4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3.406561305424963E-4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3.4205225140996655E-4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3.434483722774369E-4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3.447661048685001E-4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3.4608383745956335E-4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3.4740157005062661E-4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3.4871930264168986E-4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3.5003703523275311E-4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3.513011716082165E-4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3.5256530798367995E-4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3.5382944435914345E-4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3.5509358073460679E-4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3.5635771711007029E-4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1.8619124284621643E-3</v>
      </c>
      <c r="C13" s="7">
        <f>$B13 * IFERROR(VLOOKUP("electricity|SO2|Non-fatal heart attacks", US_national_yearly!$D:$AM, 11, FALSE) / VLOOKUP("electricity|SO2|Non-fatal heart attacks", US_national_yearly!$D:$AM, 10, FALSE), 1)</f>
        <v>1.9167561194339065E-3</v>
      </c>
      <c r="D13" s="7">
        <f>$B13 * IFERROR(VLOOKUP("electricity|SO2|Non-fatal heart attacks", US_national_yearly!$D:$AM, 12, FALSE) / VLOOKUP("electricity|SO2|Non-fatal heart attacks", US_national_yearly!$D:$AM, 10, FALSE), 1)</f>
        <v>1.9715998104056476E-3</v>
      </c>
      <c r="E13" s="7">
        <f>$B13 * IFERROR(VLOOKUP("electricity|SO2|Non-fatal heart attacks", US_national_yearly!$D:$AM, 13, FALSE) / VLOOKUP("electricity|SO2|Non-fatal heart attacks", US_national_yearly!$D:$AM, 10, FALSE), 1)</f>
        <v>2.0264435013773899E-3</v>
      </c>
      <c r="F13" s="7">
        <f>$B13 * IFERROR(VLOOKUP("electricity|SO2|Non-fatal heart attacks", US_national_yearly!$D:$AM, 14, FALSE) / VLOOKUP("electricity|SO2|Non-fatal heart attacks", US_national_yearly!$D:$AM, 10, FALSE), 1)</f>
        <v>2.0812871923491317E-3</v>
      </c>
      <c r="G13" s="7">
        <f>$B13 * IFERROR(VLOOKUP("electricity|SO2|Non-fatal heart attacks", US_national_yearly!$D:$AM, 15, FALSE) / VLOOKUP("electricity|SO2|Non-fatal heart attacks", US_national_yearly!$D:$AM, 10, FALSE), 1)</f>
        <v>2.1333355005600674E-3</v>
      </c>
      <c r="H13" s="7">
        <f>$B13 * IFERROR(VLOOKUP("electricity|SO2|Non-fatal heart attacks", US_national_yearly!$D:$AM, 16, FALSE) / VLOOKUP("electricity|SO2|Non-fatal heart attacks", US_national_yearly!$D:$AM, 10, FALSE), 1)</f>
        <v>2.1853838087710032E-3</v>
      </c>
      <c r="I13" s="7">
        <f>$B13 * IFERROR(VLOOKUP("electricity|SO2|Non-fatal heart attacks", US_national_yearly!$D:$AM, 17, FALSE) / VLOOKUP("electricity|SO2|Non-fatal heart attacks", US_national_yearly!$D:$AM, 10, FALSE), 1)</f>
        <v>2.2277711982672094E-3</v>
      </c>
      <c r="J13" s="7">
        <f>$B13 * IFERROR(VLOOKUP("electricity|SO2|Non-fatal heart attacks", US_national_yearly!$D:$AM, 18, FALSE) / VLOOKUP("electricity|SO2|Non-fatal heart attacks", US_national_yearly!$D:$AM, 10, FALSE), 1)</f>
        <v>2.2701585877634152E-3</v>
      </c>
      <c r="K13" s="7">
        <f>$B13 * IFERROR(VLOOKUP("electricity|SO2|Non-fatal heart attacks", US_national_yearly!$D:$AM, 19, FALSE) / VLOOKUP("electricity|SO2|Non-fatal heart attacks", US_national_yearly!$D:$AM, 10, FALSE), 1)</f>
        <v>2.3125459772596214E-3</v>
      </c>
      <c r="L13" s="7">
        <f>$B13 * IFERROR(VLOOKUP("electricity|SO2|Non-fatal heart attacks", US_national_yearly!$D:$AM, 20, FALSE) / VLOOKUP("electricity|SO2|Non-fatal heart attacks", US_national_yearly!$D:$AM, 10, FALSE), 1)</f>
        <v>2.3549333667558271E-3</v>
      </c>
      <c r="M13" s="7">
        <f>$B13 * IFERROR(VLOOKUP("electricity|SO2|Non-fatal heart attacks", US_national_yearly!$D:$AM, 21, FALSE) / VLOOKUP("electricity|SO2|Non-fatal heart attacks", US_national_yearly!$D:$AM, 10, FALSE), 1)</f>
        <v>2.3973207562520333E-3</v>
      </c>
      <c r="N13" s="7">
        <f>$B13 * IFERROR(VLOOKUP("electricity|SO2|Non-fatal heart attacks", US_national_yearly!$D:$AM, 22, FALSE) / VLOOKUP("electricity|SO2|Non-fatal heart attacks", US_national_yearly!$D:$AM, 10, FALSE), 1)</f>
        <v>2.4252732440923326E-3</v>
      </c>
      <c r="O13" s="7">
        <f>$B13 * IFERROR(VLOOKUP("electricity|SO2|Non-fatal heart attacks", US_national_yearly!$D:$AM, 23, FALSE) / VLOOKUP("electricity|SO2|Non-fatal heart attacks", US_national_yearly!$D:$AM, 10, FALSE), 1)</f>
        <v>2.4532257319326315E-3</v>
      </c>
      <c r="P13" s="7">
        <f>$B13 * IFERROR(VLOOKUP("electricity|SO2|Non-fatal heart attacks", US_national_yearly!$D:$AM, 24, FALSE) / VLOOKUP("electricity|SO2|Non-fatal heart attacks", US_national_yearly!$D:$AM, 10, FALSE), 1)</f>
        <v>2.4811782197729313E-3</v>
      </c>
      <c r="Q13" s="7">
        <f>$B13 * IFERROR(VLOOKUP("electricity|SO2|Non-fatal heart attacks", US_national_yearly!$D:$AM, 25, FALSE) / VLOOKUP("electricity|SO2|Non-fatal heart attacks", US_national_yearly!$D:$AM, 10, FALSE), 1)</f>
        <v>2.5091307076132306E-3</v>
      </c>
      <c r="R13" s="7">
        <f>$B13 * IFERROR(VLOOKUP("electricity|SO2|Non-fatal heart attacks", US_national_yearly!$D:$AM, 26, FALSE) / VLOOKUP("electricity|SO2|Non-fatal heart attacks", US_national_yearly!$D:$AM, 10, FALSE), 1)</f>
        <v>2.53708319545353E-3</v>
      </c>
      <c r="S13" s="7">
        <f>$B13 * IFERROR(VLOOKUP("electricity|SO2|Non-fatal heart attacks", US_national_yearly!$D:$AM, 27, FALSE) / VLOOKUP("electricity|SO2|Non-fatal heart attacks", US_national_yearly!$D:$AM, 10, FALSE), 1)</f>
        <v>2.5522942741501666E-3</v>
      </c>
      <c r="T13" s="7">
        <f>$B13 * IFERROR(VLOOKUP("electricity|SO2|Non-fatal heart attacks", US_national_yearly!$D:$AM, 28, FALSE) / VLOOKUP("electricity|SO2|Non-fatal heart attacks", US_national_yearly!$D:$AM, 10, FALSE), 1)</f>
        <v>2.5675053528468037E-3</v>
      </c>
      <c r="U13" s="7">
        <f>$B13 * IFERROR(VLOOKUP("electricity|SO2|Non-fatal heart attacks", US_national_yearly!$D:$AM, 29, FALSE) / VLOOKUP("electricity|SO2|Non-fatal heart attacks", US_national_yearly!$D:$AM, 10, FALSE), 1)</f>
        <v>2.5827164315434408E-3</v>
      </c>
      <c r="V13" s="7">
        <f>$B13 * IFERROR(VLOOKUP("electricity|SO2|Non-fatal heart attacks", US_national_yearly!$D:$AM, 30, FALSE) / VLOOKUP("electricity|SO2|Non-fatal heart attacks", US_national_yearly!$D:$AM, 10, FALSE), 1)</f>
        <v>2.5979275102400771E-3</v>
      </c>
      <c r="W13" s="7">
        <f>$B13 * IFERROR(VLOOKUP("electricity|SO2|Non-fatal heart attacks", US_national_yearly!$D:$AM, 31, FALSE) / VLOOKUP("electricity|SO2|Non-fatal heart attacks", US_national_yearly!$D:$AM, 10, FALSE), 1)</f>
        <v>2.6131385889367142E-3</v>
      </c>
      <c r="X13" s="7">
        <f>$B13 * IFERROR(VLOOKUP("electricity|SO2|Non-fatal heart attacks", US_national_yearly!$D:$AM, 32, FALSE) / VLOOKUP("electricity|SO2|Non-fatal heart attacks", US_national_yearly!$D:$AM, 10, FALSE), 1)</f>
        <v>2.6248232368032459E-3</v>
      </c>
      <c r="Y13" s="7">
        <f>$B13 * IFERROR(VLOOKUP("electricity|SO2|Non-fatal heart attacks", US_national_yearly!$D:$AM, 33, FALSE) / VLOOKUP("electricity|SO2|Non-fatal heart attacks", US_national_yearly!$D:$AM, 10, FALSE), 1)</f>
        <v>2.6365078846697777E-3</v>
      </c>
      <c r="Z13" s="7">
        <f>$B13 * IFERROR(VLOOKUP("electricity|SO2|Non-fatal heart attacks", US_national_yearly!$D:$AM, 34, FALSE) / VLOOKUP("electricity|SO2|Non-fatal heart attacks", US_national_yearly!$D:$AM, 10, FALSE), 1)</f>
        <v>2.6481925325363091E-3</v>
      </c>
      <c r="AA13" s="7">
        <f>$B13 * IFERROR(VLOOKUP("electricity|SO2|Non-fatal heart attacks", US_national_yearly!$D:$AM, 35, FALSE) / VLOOKUP("electricity|SO2|Non-fatal heart attacks", US_national_yearly!$D:$AM, 10, FALSE), 1)</f>
        <v>2.6598771804028408E-3</v>
      </c>
      <c r="AB13" s="7">
        <f>$B13 * IFERROR(VLOOKUP("electricity|SO2|Non-fatal heart attacks", US_national_yearly!$D:$AM, 36, FALSE) / VLOOKUP("electricity|SO2|Non-fatal heart attacks", US_national_yearly!$D:$AM, 10, FALSE), 1)</f>
        <v>2.6715618282693726E-3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1.4836690854942718</v>
      </c>
      <c r="C14" s="7">
        <f>$B14 * IFERROR(VLOOKUP("electricity|SO2|Minor restricted activity days", US_national_yearly!$D:$AM, 11, FALSE) / VLOOKUP("electricity|SO2|Minor restricted activity days", US_national_yearly!$D:$AM, 10, FALSE), 1)</f>
        <v>1.4873974749311547</v>
      </c>
      <c r="D14" s="7">
        <f>$B14 * IFERROR(VLOOKUP("electricity|SO2|Minor restricted activity days", US_national_yearly!$D:$AM, 12, FALSE) / VLOOKUP("electricity|SO2|Minor restricted activity days", US_national_yearly!$D:$AM, 10, FALSE), 1)</f>
        <v>1.4911258643680376</v>
      </c>
      <c r="E14" s="7">
        <f>$B14 * IFERROR(VLOOKUP("electricity|SO2|Minor restricted activity days", US_national_yearly!$D:$AM, 13, FALSE) / VLOOKUP("electricity|SO2|Minor restricted activity days", US_national_yearly!$D:$AM, 10, FALSE), 1)</f>
        <v>1.494854253804921</v>
      </c>
      <c r="F14" s="7">
        <f>$B14 * IFERROR(VLOOKUP("electricity|SO2|Minor restricted activity days", US_national_yearly!$D:$AM, 14, FALSE) / VLOOKUP("electricity|SO2|Minor restricted activity days", US_national_yearly!$D:$AM, 10, FALSE), 1)</f>
        <v>1.4985826432418035</v>
      </c>
      <c r="G14" s="7">
        <f>$B14 * IFERROR(VLOOKUP("electricity|SO2|Minor restricted activity days", US_national_yearly!$D:$AM, 15, FALSE) / VLOOKUP("electricity|SO2|Minor restricted activity days", US_national_yearly!$D:$AM, 10, FALSE), 1)</f>
        <v>1.5039693599246633</v>
      </c>
      <c r="H14" s="7">
        <f>$B14 * IFERROR(VLOOKUP("electricity|SO2|Minor restricted activity days", US_national_yearly!$D:$AM, 16, FALSE) / VLOOKUP("electricity|SO2|Minor restricted activity days", US_national_yearly!$D:$AM, 10, FALSE), 1)</f>
        <v>1.5093560766075229</v>
      </c>
      <c r="I14" s="7">
        <f>$B14 * IFERROR(VLOOKUP("electricity|SO2|Minor restricted activity days", US_national_yearly!$D:$AM, 17, FALSE) / VLOOKUP("electricity|SO2|Minor restricted activity days", US_national_yearly!$D:$AM, 10, FALSE), 1)</f>
        <v>1.5185947104483315</v>
      </c>
      <c r="J14" s="7">
        <f>$B14 * IFERROR(VLOOKUP("electricity|SO2|Minor restricted activity days", US_national_yearly!$D:$AM, 18, FALSE) / VLOOKUP("electricity|SO2|Minor restricted activity days", US_national_yearly!$D:$AM, 10, FALSE), 1)</f>
        <v>1.5278333442891405</v>
      </c>
      <c r="K14" s="7">
        <f>$B14 * IFERROR(VLOOKUP("electricity|SO2|Minor restricted activity days", US_national_yearly!$D:$AM, 19, FALSE) / VLOOKUP("electricity|SO2|Minor restricted activity days", US_national_yearly!$D:$AM, 10, FALSE), 1)</f>
        <v>1.5370719781299493</v>
      </c>
      <c r="L14" s="7">
        <f>$B14 * IFERROR(VLOOKUP("electricity|SO2|Minor restricted activity days", US_national_yearly!$D:$AM, 20, FALSE) / VLOOKUP("electricity|SO2|Minor restricted activity days", US_national_yearly!$D:$AM, 10, FALSE), 1)</f>
        <v>1.5463106119707586</v>
      </c>
      <c r="M14" s="7">
        <f>$B14 * IFERROR(VLOOKUP("electricity|SO2|Minor restricted activity days", US_national_yearly!$D:$AM, 21, FALSE) / VLOOKUP("electricity|SO2|Minor restricted activity days", US_national_yearly!$D:$AM, 10, FALSE), 1)</f>
        <v>1.5555492458115674</v>
      </c>
      <c r="N14" s="7">
        <f>$B14 * IFERROR(VLOOKUP("electricity|SO2|Minor restricted activity days", US_national_yearly!$D:$AM, 22, FALSE) / VLOOKUP("electricity|SO2|Minor restricted activity days", US_national_yearly!$D:$AM, 10, FALSE), 1)</f>
        <v>1.5682721791074035</v>
      </c>
      <c r="O14" s="7">
        <f>$B14 * IFERROR(VLOOKUP("electricity|SO2|Minor restricted activity days", US_national_yearly!$D:$AM, 23, FALSE) / VLOOKUP("electricity|SO2|Minor restricted activity days", US_national_yearly!$D:$AM, 10, FALSE), 1)</f>
        <v>1.5809951124032391</v>
      </c>
      <c r="P14" s="7">
        <f>$B14 * IFERROR(VLOOKUP("electricity|SO2|Minor restricted activity days", US_national_yearly!$D:$AM, 24, FALSE) / VLOOKUP("electricity|SO2|Minor restricted activity days", US_national_yearly!$D:$AM, 10, FALSE), 1)</f>
        <v>1.5937180456990747</v>
      </c>
      <c r="Q14" s="7">
        <f>$B14 * IFERROR(VLOOKUP("electricity|SO2|Minor restricted activity days", US_national_yearly!$D:$AM, 25, FALSE) / VLOOKUP("electricity|SO2|Minor restricted activity days", US_national_yearly!$D:$AM, 10, FALSE), 1)</f>
        <v>1.6064409789949108</v>
      </c>
      <c r="R14" s="7">
        <f>$B14 * IFERROR(VLOOKUP("electricity|SO2|Minor restricted activity days", US_national_yearly!$D:$AM, 26, FALSE) / VLOOKUP("electricity|SO2|Minor restricted activity days", US_national_yearly!$D:$AM, 10, FALSE), 1)</f>
        <v>1.6191639122907466</v>
      </c>
      <c r="S14" s="7">
        <f>$B14 * IFERROR(VLOOKUP("electricity|SO2|Minor restricted activity days", US_national_yearly!$D:$AM, 27, FALSE) / VLOOKUP("electricity|SO2|Minor restricted activity days", US_national_yearly!$D:$AM, 10, FALSE), 1)</f>
        <v>1.6322069247988567</v>
      </c>
      <c r="T14" s="7">
        <f>$B14 * IFERROR(VLOOKUP("electricity|SO2|Minor restricted activity days", US_national_yearly!$D:$AM, 28, FALSE) / VLOOKUP("electricity|SO2|Minor restricted activity days", US_national_yearly!$D:$AM, 10, FALSE), 1)</f>
        <v>1.6452499373069667</v>
      </c>
      <c r="U14" s="7">
        <f>$B14 * IFERROR(VLOOKUP("electricity|SO2|Minor restricted activity days", US_national_yearly!$D:$AM, 29, FALSE) / VLOOKUP("electricity|SO2|Minor restricted activity days", US_national_yearly!$D:$AM, 10, FALSE), 1)</f>
        <v>1.6582929498150765</v>
      </c>
      <c r="V14" s="7">
        <f>$B14 * IFERROR(VLOOKUP("electricity|SO2|Minor restricted activity days", US_national_yearly!$D:$AM, 30, FALSE) / VLOOKUP("electricity|SO2|Minor restricted activity days", US_national_yearly!$D:$AM, 10, FALSE), 1)</f>
        <v>1.6713359623231867</v>
      </c>
      <c r="W14" s="7">
        <f>$B14 * IFERROR(VLOOKUP("electricity|SO2|Minor restricted activity days", US_national_yearly!$D:$AM, 31, FALSE) / VLOOKUP("electricity|SO2|Minor restricted activity days", US_national_yearly!$D:$AM, 10, FALSE), 1)</f>
        <v>1.6843789748312967</v>
      </c>
      <c r="X14" s="7">
        <f>$B14 * IFERROR(VLOOKUP("electricity|SO2|Minor restricted activity days", US_national_yearly!$D:$AM, 32, FALSE) / VLOOKUP("electricity|SO2|Minor restricted activity days", US_national_yearly!$D:$AM, 10, FALSE), 1)</f>
        <v>1.6958553963576419</v>
      </c>
      <c r="Y14" s="7">
        <f>$B14 * IFERROR(VLOOKUP("electricity|SO2|Minor restricted activity days", US_national_yearly!$D:$AM, 33, FALSE) / VLOOKUP("electricity|SO2|Minor restricted activity days", US_national_yearly!$D:$AM, 10, FALSE), 1)</f>
        <v>1.7073318178839869</v>
      </c>
      <c r="Z14" s="7">
        <f>$B14 * IFERROR(VLOOKUP("electricity|SO2|Minor restricted activity days", US_national_yearly!$D:$AM, 34, FALSE) / VLOOKUP("electricity|SO2|Minor restricted activity days", US_national_yearly!$D:$AM, 10, FALSE), 1)</f>
        <v>1.7188082394103319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1.7302846609366771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1.7417610824630219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0.25108728113719236</v>
      </c>
      <c r="C15" s="7">
        <f>$B15 * IFERROR(VLOOKUP("electricity|SO2|Work loss days", US_national_yearly!$D:$AM, 11, FALSE) / VLOOKUP("electricity|SO2|Work loss days", US_national_yearly!$D:$AM, 10, FALSE), 1)</f>
        <v>0.25190030934719043</v>
      </c>
      <c r="D15" s="7">
        <f>$B15 * IFERROR(VLOOKUP("electricity|SO2|Work loss days", US_national_yearly!$D:$AM, 12, FALSE) / VLOOKUP("electricity|SO2|Work loss days", US_national_yearly!$D:$AM, 10, FALSE), 1)</f>
        <v>0.2527133375571885</v>
      </c>
      <c r="E15" s="7">
        <f>$B15 * IFERROR(VLOOKUP("electricity|SO2|Work loss days", US_national_yearly!$D:$AM, 13, FALSE) / VLOOKUP("electricity|SO2|Work loss days", US_national_yearly!$D:$AM, 10, FALSE), 1)</f>
        <v>0.25352636576718662</v>
      </c>
      <c r="F15" s="7">
        <f>$B15 * IFERROR(VLOOKUP("electricity|SO2|Work loss days", US_national_yearly!$D:$AM, 14, FALSE) / VLOOKUP("electricity|SO2|Work loss days", US_national_yearly!$D:$AM, 10, FALSE), 1)</f>
        <v>0.25433939397718469</v>
      </c>
      <c r="G15" s="7">
        <f>$B15 * IFERROR(VLOOKUP("electricity|SO2|Work loss days", US_national_yearly!$D:$AM, 15, FALSE) / VLOOKUP("electricity|SO2|Work loss days", US_national_yearly!$D:$AM, 10, FALSE), 1)</f>
        <v>0.25538093349263036</v>
      </c>
      <c r="H15" s="7">
        <f>$B15 * IFERROR(VLOOKUP("electricity|SO2|Work loss days", US_national_yearly!$D:$AM, 16, FALSE) / VLOOKUP("electricity|SO2|Work loss days", US_national_yearly!$D:$AM, 10, FALSE), 1)</f>
        <v>0.25642247300807597</v>
      </c>
      <c r="I15" s="7">
        <f>$B15 * IFERROR(VLOOKUP("electricity|SO2|Work loss days", US_national_yearly!$D:$AM, 17, FALSE) / VLOOKUP("electricity|SO2|Work loss days", US_national_yearly!$D:$AM, 10, FALSE), 1)</f>
        <v>0.25794636783448593</v>
      </c>
      <c r="J15" s="7">
        <f>$B15 * IFERROR(VLOOKUP("electricity|SO2|Work loss days", US_national_yearly!$D:$AM, 18, FALSE) / VLOOKUP("electricity|SO2|Work loss days", US_national_yearly!$D:$AM, 10, FALSE), 1)</f>
        <v>0.25947026266089579</v>
      </c>
      <c r="K15" s="7">
        <f>$B15 * IFERROR(VLOOKUP("electricity|SO2|Work loss days", US_national_yearly!$D:$AM, 19, FALSE) / VLOOKUP("electricity|SO2|Work loss days", US_national_yearly!$D:$AM, 10, FALSE), 1)</f>
        <v>0.26099415748730581</v>
      </c>
      <c r="L15" s="7">
        <f>$B15 * IFERROR(VLOOKUP("electricity|SO2|Work loss days", US_national_yearly!$D:$AM, 20, FALSE) / VLOOKUP("electricity|SO2|Work loss days", US_national_yearly!$D:$AM, 10, FALSE), 1)</f>
        <v>0.26251805231371567</v>
      </c>
      <c r="M15" s="7">
        <f>$B15 * IFERROR(VLOOKUP("electricity|SO2|Work loss days", US_national_yearly!$D:$AM, 21, FALSE) / VLOOKUP("electricity|SO2|Work loss days", US_national_yearly!$D:$AM, 10, FALSE), 1)</f>
        <v>0.26404194714012569</v>
      </c>
      <c r="N15" s="7">
        <f>$B15 * IFERROR(VLOOKUP("electricity|SO2|Work loss days", US_national_yearly!$D:$AM, 22, FALSE) / VLOOKUP("electricity|SO2|Work loss days", US_national_yearly!$D:$AM, 10, FALSE), 1)</f>
        <v>0.26597005307940141</v>
      </c>
      <c r="O15" s="7">
        <f>$B15 * IFERROR(VLOOKUP("electricity|SO2|Work loss days", US_national_yearly!$D:$AM, 23, FALSE) / VLOOKUP("electricity|SO2|Work loss days", US_national_yearly!$D:$AM, 10, FALSE), 1)</f>
        <v>0.2678981590186772</v>
      </c>
      <c r="P15" s="7">
        <f>$B15 * IFERROR(VLOOKUP("electricity|SO2|Work loss days", US_national_yearly!$D:$AM, 24, FALSE) / VLOOKUP("electricity|SO2|Work loss days", US_national_yearly!$D:$AM, 10, FALSE), 1)</f>
        <v>0.26982626495795298</v>
      </c>
      <c r="Q15" s="7">
        <f>$B15 * IFERROR(VLOOKUP("electricity|SO2|Work loss days", US_national_yearly!$D:$AM, 25, FALSE) / VLOOKUP("electricity|SO2|Work loss days", US_national_yearly!$D:$AM, 10, FALSE), 1)</f>
        <v>0.2717543708972287</v>
      </c>
      <c r="R15" s="7">
        <f>$B15 * IFERROR(VLOOKUP("electricity|SO2|Work loss days", US_national_yearly!$D:$AM, 26, FALSE) / VLOOKUP("electricity|SO2|Work loss days", US_national_yearly!$D:$AM, 10, FALSE), 1)</f>
        <v>0.27368247683650448</v>
      </c>
      <c r="S15" s="7">
        <f>$B15 * IFERROR(VLOOKUP("electricity|SO2|Work loss days", US_national_yearly!$D:$AM, 27, FALSE) / VLOOKUP("electricity|SO2|Work loss days", US_national_yearly!$D:$AM, 10, FALSE), 1)</f>
        <v>0.2758440635196166</v>
      </c>
      <c r="T15" s="7">
        <f>$B15 * IFERROR(VLOOKUP("electricity|SO2|Work loss days", US_national_yearly!$D:$AM, 28, FALSE) / VLOOKUP("electricity|SO2|Work loss days", US_national_yearly!$D:$AM, 10, FALSE), 1)</f>
        <v>0.27800565020272872</v>
      </c>
      <c r="U15" s="7">
        <f>$B15 * IFERROR(VLOOKUP("electricity|SO2|Work loss days", US_national_yearly!$D:$AM, 29, FALSE) / VLOOKUP("electricity|SO2|Work loss days", US_national_yearly!$D:$AM, 10, FALSE), 1)</f>
        <v>0.28016723688584089</v>
      </c>
      <c r="V15" s="7">
        <f>$B15 * IFERROR(VLOOKUP("electricity|SO2|Work loss days", US_national_yearly!$D:$AM, 30, FALSE) / VLOOKUP("electricity|SO2|Work loss days", US_national_yearly!$D:$AM, 10, FALSE), 1)</f>
        <v>0.28232882356895306</v>
      </c>
      <c r="W15" s="7">
        <f>$B15 * IFERROR(VLOOKUP("electricity|SO2|Work loss days", US_national_yearly!$D:$AM, 31, FALSE) / VLOOKUP("electricity|SO2|Work loss days", US_national_yearly!$D:$AM, 10, FALSE), 1)</f>
        <v>0.28449041025206523</v>
      </c>
      <c r="X15" s="7">
        <f>$B15 * IFERROR(VLOOKUP("electricity|SO2|Work loss days", US_national_yearly!$D:$AM, 32, FALSE) / VLOOKUP("electricity|SO2|Work loss days", US_national_yearly!$D:$AM, 10, FALSE), 1)</f>
        <v>0.28643778605992987</v>
      </c>
      <c r="Y15" s="7">
        <f>$B15 * IFERROR(VLOOKUP("electricity|SO2|Work loss days", US_national_yearly!$D:$AM, 33, FALSE) / VLOOKUP("electricity|SO2|Work loss days", US_national_yearly!$D:$AM, 10, FALSE), 1)</f>
        <v>0.28838516186779445</v>
      </c>
      <c r="Z15" s="7">
        <f>$B15 * IFERROR(VLOOKUP("electricity|SO2|Work loss days", US_national_yearly!$D:$AM, 34, FALSE) / VLOOKUP("electricity|SO2|Work loss days", US_national_yearly!$D:$AM, 10, FALSE), 1)</f>
        <v>0.29033253767565903</v>
      </c>
      <c r="AA15" s="7">
        <f>$B15 * IFERROR(VLOOKUP("electricity|SO2|Work loss days", US_national_yearly!$D:$AM, 35, FALSE) / VLOOKUP("electricity|SO2|Work loss days", US_national_yearly!$D:$AM, 10, FALSE), 1)</f>
        <v>0.29227991348352367</v>
      </c>
      <c r="AB15" s="7">
        <f>$B15 * IFERROR(VLOOKUP("electricity|SO2|Work loss days", US_national_yearly!$D:$AM, 36, FALSE) / VLOOKUP("electricity|SO2|Work loss days", US_national_yearly!$D:$AM, 10, FALSE), 1)</f>
        <v>0.29422728929138831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4.5713628994663633E-4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4.7098879028953741E-4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4.8484129063243849E-4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4.9869379097533962E-4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5.125462913182407E-4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5.2589921894600849E-4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5.3925214657377638E-4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5.5081231734873683E-4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5.6237248812369728E-4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5.7393265889865773E-4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5.8549282967361807E-4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5.9705300044857852E-4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6.0494278618172847E-4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6.1283257191487831E-4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6.2072235764802836E-4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6.2861214338117821E-4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6.3650192911432815E-4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6.4082725418912706E-4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6.4515257926392596E-4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6.4947790433872487E-4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6.5380322941352377E-4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6.5812855448832267E-4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6.6111427370936504E-4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6.6409999293040719E-4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6.6708571215144956E-4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6.7007143137249182E-4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6.7305715059353419E-4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0.10896340241733718</v>
      </c>
      <c r="C2" s="7">
        <f>$B2 * IFERROR(VLOOKUP("buildings|PM25|Premature mortality", US_national_yearly!$D:$AM, 11, FALSE) / VLOOKUP("buildings|PM25|Premature mortality", US_national_yearly!$D:$AM, 10, FALSE), 1)</f>
        <v>0.11031528829616305</v>
      </c>
      <c r="D2" s="7">
        <f>$B2 * IFERROR(VLOOKUP("buildings|PM25|Premature mortality", US_national_yearly!$D:$AM, 12, FALSE) / VLOOKUP("buildings|PM25|Premature mortality", US_national_yearly!$D:$AM, 10, FALSE), 1)</f>
        <v>0.11166717417498891</v>
      </c>
      <c r="E2" s="7">
        <f>$B2 * IFERROR(VLOOKUP("buildings|PM25|Premature mortality", US_national_yearly!$D:$AM, 13, FALSE) / VLOOKUP("buildings|PM25|Premature mortality", US_national_yearly!$D:$AM, 10, FALSE), 1)</f>
        <v>0.11301906005381478</v>
      </c>
      <c r="F2" s="7">
        <f>$B2 * IFERROR(VLOOKUP("buildings|PM25|Premature mortality", US_national_yearly!$D:$AM, 14, FALSE) / VLOOKUP("buildings|PM25|Premature mortality", US_national_yearly!$D:$AM, 10, FALSE), 1)</f>
        <v>0.11437094593264065</v>
      </c>
      <c r="G2" s="7">
        <f>$B2 * IFERROR(VLOOKUP("buildings|PM25|Premature mortality", US_national_yearly!$D:$AM, 15, FALSE) / VLOOKUP("buildings|PM25|Premature mortality", US_national_yearly!$D:$AM, 10, FALSE), 1)</f>
        <v>0.1170033449714076</v>
      </c>
      <c r="H2" s="7">
        <f>$B2 * IFERROR(VLOOKUP("buildings|PM25|Premature mortality", US_national_yearly!$D:$AM, 16, FALSE) / VLOOKUP("buildings|PM25|Premature mortality", US_national_yearly!$D:$AM, 10, FALSE), 1)</f>
        <v>0.11963574401017457</v>
      </c>
      <c r="I2" s="7">
        <f>$B2 * IFERROR(VLOOKUP("buildings|PM25|Premature mortality", US_national_yearly!$D:$AM, 17, FALSE) / VLOOKUP("buildings|PM25|Premature mortality", US_national_yearly!$D:$AM, 10, FALSE), 1)</f>
        <v>0.12136702751743701</v>
      </c>
      <c r="J2" s="7">
        <f>$B2 * IFERROR(VLOOKUP("buildings|PM25|Premature mortality", US_national_yearly!$D:$AM, 18, FALSE) / VLOOKUP("buildings|PM25|Premature mortality", US_national_yearly!$D:$AM, 10, FALSE), 1)</f>
        <v>0.12309831102469945</v>
      </c>
      <c r="K2" s="7">
        <f>$B2 * IFERROR(VLOOKUP("buildings|PM25|Premature mortality", US_national_yearly!$D:$AM, 19, FALSE) / VLOOKUP("buildings|PM25|Premature mortality", US_national_yearly!$D:$AM, 10, FALSE), 1)</f>
        <v>0.12482959453196189</v>
      </c>
      <c r="L2" s="7">
        <f>$B2 * IFERROR(VLOOKUP("buildings|PM25|Premature mortality", US_national_yearly!$D:$AM, 20, FALSE) / VLOOKUP("buildings|PM25|Premature mortality", US_national_yearly!$D:$AM, 10, FALSE), 1)</f>
        <v>0.12656087803922433</v>
      </c>
      <c r="M2" s="7">
        <f>$B2 * IFERROR(VLOOKUP("buildings|PM25|Premature mortality", US_national_yearly!$D:$AM, 21, FALSE) / VLOOKUP("buildings|PM25|Premature mortality", US_national_yearly!$D:$AM, 10, FALSE), 1)</f>
        <v>0.12829216154648676</v>
      </c>
      <c r="N2" s="7">
        <f>$B2 * IFERROR(VLOOKUP("buildings|PM25|Premature mortality", US_national_yearly!$D:$AM, 22, FALSE) / VLOOKUP("buildings|PM25|Premature mortality", US_national_yearly!$D:$AM, 10, FALSE), 1)</f>
        <v>0.1296384268913697</v>
      </c>
      <c r="O2" s="7">
        <f>$B2 * IFERROR(VLOOKUP("buildings|PM25|Premature mortality", US_national_yearly!$D:$AM, 23, FALSE) / VLOOKUP("buildings|PM25|Premature mortality", US_national_yearly!$D:$AM, 10, FALSE), 1)</f>
        <v>0.13098469223625267</v>
      </c>
      <c r="P2" s="7">
        <f>$B2 * IFERROR(VLOOKUP("buildings|PM25|Premature mortality", US_national_yearly!$D:$AM, 24, FALSE) / VLOOKUP("buildings|PM25|Premature mortality", US_national_yearly!$D:$AM, 10, FALSE), 1)</f>
        <v>0.13233095758113561</v>
      </c>
      <c r="Q2" s="7">
        <f>$B2 * IFERROR(VLOOKUP("buildings|PM25|Premature mortality", US_national_yearly!$D:$AM, 25, FALSE) / VLOOKUP("buildings|PM25|Premature mortality", US_national_yearly!$D:$AM, 10, FALSE), 1)</f>
        <v>0.13367722292601861</v>
      </c>
      <c r="R2" s="7">
        <f>$B2 * IFERROR(VLOOKUP("buildings|PM25|Premature mortality", US_national_yearly!$D:$AM, 26, FALSE) / VLOOKUP("buildings|PM25|Premature mortality", US_national_yearly!$D:$AM, 10, FALSE), 1)</f>
        <v>0.13502348827090155</v>
      </c>
      <c r="S2" s="7">
        <f>$B2 * IFERROR(VLOOKUP("buildings|PM25|Premature mortality", US_national_yearly!$D:$AM, 27, FALSE) / VLOOKUP("buildings|PM25|Premature mortality", US_national_yearly!$D:$AM, 10, FALSE), 1)</f>
        <v>0.13573904167399595</v>
      </c>
      <c r="T2" s="7">
        <f>$B2 * IFERROR(VLOOKUP("buildings|PM25|Premature mortality", US_national_yearly!$D:$AM, 28, FALSE) / VLOOKUP("buildings|PM25|Premature mortality", US_national_yearly!$D:$AM, 10, FALSE), 1)</f>
        <v>0.13645459507709035</v>
      </c>
      <c r="U2" s="7">
        <f>$B2 * IFERROR(VLOOKUP("buildings|PM25|Premature mortality", US_national_yearly!$D:$AM, 29, FALSE) / VLOOKUP("buildings|PM25|Premature mortality", US_national_yearly!$D:$AM, 10, FALSE), 1)</f>
        <v>0.13717014848018477</v>
      </c>
      <c r="V2" s="7">
        <f>$B2 * IFERROR(VLOOKUP("buildings|PM25|Premature mortality", US_national_yearly!$D:$AM, 30, FALSE) / VLOOKUP("buildings|PM25|Premature mortality", US_national_yearly!$D:$AM, 10, FALSE), 1)</f>
        <v>0.13788570188327917</v>
      </c>
      <c r="W2" s="7">
        <f>$B2 * IFERROR(VLOOKUP("buildings|PM25|Premature mortality", US_national_yearly!$D:$AM, 31, FALSE) / VLOOKUP("buildings|PM25|Premature mortality", US_national_yearly!$D:$AM, 10, FALSE), 1)</f>
        <v>0.13860125528637357</v>
      </c>
      <c r="X2" s="7">
        <f>$B2 * IFERROR(VLOOKUP("buildings|PM25|Premature mortality", US_national_yearly!$D:$AM, 32, FALSE) / VLOOKUP("buildings|PM25|Premature mortality", US_national_yearly!$D:$AM, 10, FALSE), 1)</f>
        <v>0.13872969137764801</v>
      </c>
      <c r="Y2" s="7">
        <f>$B2 * IFERROR(VLOOKUP("buildings|PM25|Premature mortality", US_national_yearly!$D:$AM, 33, FALSE) / VLOOKUP("buildings|PM25|Premature mortality", US_national_yearly!$D:$AM, 10, FALSE), 1)</f>
        <v>0.13885812746892243</v>
      </c>
      <c r="Z2" s="7">
        <f>$B2 * IFERROR(VLOOKUP("buildings|PM25|Premature mortality", US_national_yearly!$D:$AM, 34, FALSE) / VLOOKUP("buildings|PM25|Premature mortality", US_national_yearly!$D:$AM, 10, FALSE), 1)</f>
        <v>0.13898656356019687</v>
      </c>
      <c r="AA2" s="7">
        <f>$B2 * IFERROR(VLOOKUP("buildings|PM25|Premature mortality", US_national_yearly!$D:$AM, 35, FALSE) / VLOOKUP("buildings|PM25|Premature mortality", US_national_yearly!$D:$AM, 10, FALSE), 1)</f>
        <v>0.13911499965147131</v>
      </c>
      <c r="AB2" s="7">
        <f>$B2 * IFERROR(VLOOKUP("buildings|PM25|Premature mortality", US_national_yearly!$D:$AM, 36, FALSE) / VLOOKUP("buildings|PM25|Premature mortality", US_national_yearly!$D:$AM, 10, FALSE), 1)</f>
        <v>0.13924343574274575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2.4696564447511409E-4</v>
      </c>
      <c r="C3" s="7">
        <f>$B3 * IFERROR(VLOOKUP("buildings|PM25|Infant mortality", US_national_yearly!$D:$AM, 11, FALSE) / VLOOKUP("buildings|PM25|Infant mortality", US_national_yearly!$D:$AM, 10, FALSE), 1)</f>
        <v>2.4482652248954714E-4</v>
      </c>
      <c r="D3" s="7">
        <f>$B3 * IFERROR(VLOOKUP("buildings|PM25|Infant mortality", US_national_yearly!$D:$AM, 12, FALSE) / VLOOKUP("buildings|PM25|Infant mortality", US_national_yearly!$D:$AM, 10, FALSE), 1)</f>
        <v>2.4268740050398013E-4</v>
      </c>
      <c r="E3" s="7">
        <f>$B3 * IFERROR(VLOOKUP("buildings|PM25|Infant mortality", US_national_yearly!$D:$AM, 13, FALSE) / VLOOKUP("buildings|PM25|Infant mortality", US_national_yearly!$D:$AM, 10, FALSE), 1)</f>
        <v>2.4054827851841318E-4</v>
      </c>
      <c r="F3" s="7">
        <f>$B3 * IFERROR(VLOOKUP("buildings|PM25|Infant mortality", US_national_yearly!$D:$AM, 14, FALSE) / VLOOKUP("buildings|PM25|Infant mortality", US_national_yearly!$D:$AM, 10, FALSE), 1)</f>
        <v>2.3840915653284623E-4</v>
      </c>
      <c r="G3" s="7">
        <f>$B3 * IFERROR(VLOOKUP("buildings|PM25|Infant mortality", US_national_yearly!$D:$AM, 15, FALSE) / VLOOKUP("buildings|PM25|Infant mortality", US_national_yearly!$D:$AM, 10, FALSE), 1)</f>
        <v>1.5853343980677833E-4</v>
      </c>
      <c r="H3" s="7">
        <f>$B3 * IFERROR(VLOOKUP("buildings|PM25|Infant mortality", US_national_yearly!$D:$AM, 16, FALSE) / VLOOKUP("buildings|PM25|Infant mortality", US_national_yearly!$D:$AM, 10, FALSE), 1)</f>
        <v>7.8657723080710436E-5</v>
      </c>
      <c r="I3" s="7">
        <f>$B3 * IFERROR(VLOOKUP("buildings|PM25|Infant mortality", US_national_yearly!$D:$AM, 17, FALSE) / VLOOKUP("buildings|PM25|Infant mortality", US_national_yearly!$D:$AM, 10, FALSE), 1)</f>
        <v>7.8145157451118527E-5</v>
      </c>
      <c r="J3" s="7">
        <f>$B3 * IFERROR(VLOOKUP("buildings|PM25|Infant mortality", US_national_yearly!$D:$AM, 18, FALSE) / VLOOKUP("buildings|PM25|Infant mortality", US_national_yearly!$D:$AM, 10, FALSE), 1)</f>
        <v>7.7632591821526618E-5</v>
      </c>
      <c r="K3" s="7">
        <f>$B3 * IFERROR(VLOOKUP("buildings|PM25|Infant mortality", US_national_yearly!$D:$AM, 19, FALSE) / VLOOKUP("buildings|PM25|Infant mortality", US_national_yearly!$D:$AM, 10, FALSE), 1)</f>
        <v>7.7120026191934696E-5</v>
      </c>
      <c r="L3" s="7">
        <f>$B3 * IFERROR(VLOOKUP("buildings|PM25|Infant mortality", US_national_yearly!$D:$AM, 20, FALSE) / VLOOKUP("buildings|PM25|Infant mortality", US_national_yearly!$D:$AM, 10, FALSE), 1)</f>
        <v>7.6607460562342787E-5</v>
      </c>
      <c r="M3" s="7">
        <f>$B3 * IFERROR(VLOOKUP("buildings|PM25|Infant mortality", US_national_yearly!$D:$AM, 21, FALSE) / VLOOKUP("buildings|PM25|Infant mortality", US_national_yearly!$D:$AM, 10, FALSE), 1)</f>
        <v>7.6094894932750878E-5</v>
      </c>
      <c r="N3" s="7">
        <f>$B3 * IFERROR(VLOOKUP("buildings|PM25|Infant mortality", US_national_yearly!$D:$AM, 22, FALSE) / VLOOKUP("buildings|PM25|Infant mortality", US_national_yearly!$D:$AM, 10, FALSE), 1)</f>
        <v>7.5774184818056282E-5</v>
      </c>
      <c r="O3" s="7">
        <f>$B3 * IFERROR(VLOOKUP("buildings|PM25|Infant mortality", US_national_yearly!$D:$AM, 23, FALSE) / VLOOKUP("buildings|PM25|Infant mortality", US_national_yearly!$D:$AM, 10, FALSE), 1)</f>
        <v>7.5453474703361686E-5</v>
      </c>
      <c r="P3" s="7">
        <f>$B3 * IFERROR(VLOOKUP("buildings|PM25|Infant mortality", US_national_yearly!$D:$AM, 24, FALSE) / VLOOKUP("buildings|PM25|Infant mortality", US_national_yearly!$D:$AM, 10, FALSE), 1)</f>
        <v>7.5132764588667104E-5</v>
      </c>
      <c r="Q3" s="7">
        <f>$B3 * IFERROR(VLOOKUP("buildings|PM25|Infant mortality", US_national_yearly!$D:$AM, 25, FALSE) / VLOOKUP("buildings|PM25|Infant mortality", US_national_yearly!$D:$AM, 10, FALSE), 1)</f>
        <v>7.4812054473972508E-5</v>
      </c>
      <c r="R3" s="7">
        <f>$B3 * IFERROR(VLOOKUP("buildings|PM25|Infant mortality", US_national_yearly!$D:$AM, 26, FALSE) / VLOOKUP("buildings|PM25|Infant mortality", US_national_yearly!$D:$AM, 10, FALSE), 1)</f>
        <v>7.4491344359277911E-5</v>
      </c>
      <c r="S3" s="7">
        <f>$B3 * IFERROR(VLOOKUP("buildings|PM25|Infant mortality", US_national_yearly!$D:$AM, 27, FALSE) / VLOOKUP("buildings|PM25|Infant mortality", US_national_yearly!$D:$AM, 10, FALSE), 1)</f>
        <v>7.4090915728226188E-5</v>
      </c>
      <c r="T3" s="7">
        <f>$B3 * IFERROR(VLOOKUP("buildings|PM25|Infant mortality", US_national_yearly!$D:$AM, 28, FALSE) / VLOOKUP("buildings|PM25|Infant mortality", US_national_yearly!$D:$AM, 10, FALSE), 1)</f>
        <v>7.3690487097174493E-5</v>
      </c>
      <c r="U3" s="7">
        <f>$B3 * IFERROR(VLOOKUP("buildings|PM25|Infant mortality", US_national_yearly!$D:$AM, 29, FALSE) / VLOOKUP("buildings|PM25|Infant mortality", US_national_yearly!$D:$AM, 10, FALSE), 1)</f>
        <v>7.329005846612277E-5</v>
      </c>
      <c r="V3" s="7">
        <f>$B3 * IFERROR(VLOOKUP("buildings|PM25|Infant mortality", US_national_yearly!$D:$AM, 30, FALSE) / VLOOKUP("buildings|PM25|Infant mortality", US_national_yearly!$D:$AM, 10, FALSE), 1)</f>
        <v>7.288962983507106E-5</v>
      </c>
      <c r="W3" s="7">
        <f>$B3 * IFERROR(VLOOKUP("buildings|PM25|Infant mortality", US_national_yearly!$D:$AM, 31, FALSE) / VLOOKUP("buildings|PM25|Infant mortality", US_national_yearly!$D:$AM, 10, FALSE), 1)</f>
        <v>7.2489201204019351E-5</v>
      </c>
      <c r="X3" s="7">
        <f>$B3 * IFERROR(VLOOKUP("buildings|PM25|Infant mortality", US_national_yearly!$D:$AM, 32, FALSE) / VLOOKUP("buildings|PM25|Infant mortality", US_national_yearly!$D:$AM, 10, FALSE), 1)</f>
        <v>7.2058088225971051E-5</v>
      </c>
      <c r="Y3" s="7">
        <f>$B3 * IFERROR(VLOOKUP("buildings|PM25|Infant mortality", US_national_yearly!$D:$AM, 33, FALSE) / VLOOKUP("buildings|PM25|Infant mortality", US_national_yearly!$D:$AM, 10, FALSE), 1)</f>
        <v>7.1626975247922765E-5</v>
      </c>
      <c r="Z3" s="7">
        <f>$B3 * IFERROR(VLOOKUP("buildings|PM25|Infant mortality", US_national_yearly!$D:$AM, 34, FALSE) / VLOOKUP("buildings|PM25|Infant mortality", US_national_yearly!$D:$AM, 10, FALSE), 1)</f>
        <v>7.1195862269874465E-5</v>
      </c>
      <c r="AA3" s="7">
        <f>$B3 * IFERROR(VLOOKUP("buildings|PM25|Infant mortality", US_national_yearly!$D:$AM, 35, FALSE) / VLOOKUP("buildings|PM25|Infant mortality", US_national_yearly!$D:$AM, 10, FALSE), 1)</f>
        <v>7.0764749291826165E-5</v>
      </c>
      <c r="AB3" s="7">
        <f>$B3 * IFERROR(VLOOKUP("buildings|PM25|Infant mortality", US_national_yearly!$D:$AM, 36, FALSE) / VLOOKUP("buildings|PM25|Infant mortality", US_national_yearly!$D:$AM, 10, FALSE), 1)</f>
        <v>7.0333636313777879E-5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0.34564843109160093</v>
      </c>
      <c r="C6" s="7">
        <f>$B6 * IFERROR(VLOOKUP("buildings|PM25|Asthma symptoms cough", US_national_yearly!$D:$AM, 11, FALSE) / VLOOKUP("buildings|PM25|Asthma symptoms cough", US_national_yearly!$D:$AM, 10, FALSE), 1)</f>
        <v>0.34564843109160093</v>
      </c>
      <c r="D6" s="7">
        <f>$B6 * IFERROR(VLOOKUP("buildings|PM25|Asthma symptoms cough", US_national_yearly!$D:$AM, 12, FALSE) / VLOOKUP("buildings|PM25|Asthma symptoms cough", US_national_yearly!$D:$AM, 10, FALSE), 1)</f>
        <v>0.34564843109160093</v>
      </c>
      <c r="E6" s="7">
        <f>$B6 * IFERROR(VLOOKUP("buildings|PM25|Asthma symptoms cough", US_national_yearly!$D:$AM, 13, FALSE) / VLOOKUP("buildings|PM25|Asthma symptoms cough", US_national_yearly!$D:$AM, 10, FALSE), 1)</f>
        <v>0.34564843109160093</v>
      </c>
      <c r="F6" s="7">
        <f>$B6 * IFERROR(VLOOKUP("buildings|PM25|Asthma symptoms cough", US_national_yearly!$D:$AM, 14, FALSE) / VLOOKUP("buildings|PM25|Asthma symptoms cough", US_national_yearly!$D:$AM, 10, FALSE), 1)</f>
        <v>0.34564843109160093</v>
      </c>
      <c r="G6" s="7">
        <f>$B6 * IFERROR(VLOOKUP("buildings|PM25|Asthma symptoms cough", US_national_yearly!$D:$AM, 15, FALSE) / VLOOKUP("buildings|PM25|Asthma symptoms cough", US_national_yearly!$D:$AM, 10, FALSE), 1)</f>
        <v>0.34564843109160093</v>
      </c>
      <c r="H6" s="7">
        <f>$B6 * IFERROR(VLOOKUP("buildings|PM25|Asthma symptoms cough", US_national_yearly!$D:$AM, 16, FALSE) / VLOOKUP("buildings|PM25|Asthma symptoms cough", US_national_yearly!$D:$AM, 10, FALSE), 1)</f>
        <v>0.34564843109160093</v>
      </c>
      <c r="I6" s="7">
        <f>$B6 * IFERROR(VLOOKUP("buildings|PM25|Asthma symptoms cough", US_national_yearly!$D:$AM, 17, FALSE) / VLOOKUP("buildings|PM25|Asthma symptoms cough", US_national_yearly!$D:$AM, 10, FALSE), 1)</f>
        <v>0.34564843109160093</v>
      </c>
      <c r="J6" s="7">
        <f>$B6 * IFERROR(VLOOKUP("buildings|PM25|Asthma symptoms cough", US_national_yearly!$D:$AM, 18, FALSE) / VLOOKUP("buildings|PM25|Asthma symptoms cough", US_national_yearly!$D:$AM, 10, FALSE), 1)</f>
        <v>0.34564843109160093</v>
      </c>
      <c r="K6" s="7">
        <f>$B6 * IFERROR(VLOOKUP("buildings|PM25|Asthma symptoms cough", US_national_yearly!$D:$AM, 19, FALSE) / VLOOKUP("buildings|PM25|Asthma symptoms cough", US_national_yearly!$D:$AM, 10, FALSE), 1)</f>
        <v>0.34564843109160093</v>
      </c>
      <c r="L6" s="7">
        <f>$B6 * IFERROR(VLOOKUP("buildings|PM25|Asthma symptoms cough", US_national_yearly!$D:$AM, 20, FALSE) / VLOOKUP("buildings|PM25|Asthma symptoms cough", US_national_yearly!$D:$AM, 10, FALSE), 1)</f>
        <v>0.34564843109160093</v>
      </c>
      <c r="M6" s="7">
        <f>$B6 * IFERROR(VLOOKUP("buildings|PM25|Asthma symptoms cough", US_national_yearly!$D:$AM, 21, FALSE) / VLOOKUP("buildings|PM25|Asthma symptoms cough", US_national_yearly!$D:$AM, 10, FALSE), 1)</f>
        <v>0.34564843109160093</v>
      </c>
      <c r="N6" s="7">
        <f>$B6 * IFERROR(VLOOKUP("buildings|PM25|Asthma symptoms cough", US_national_yearly!$D:$AM, 22, FALSE) / VLOOKUP("buildings|PM25|Asthma symptoms cough", US_national_yearly!$D:$AM, 10, FALSE), 1)</f>
        <v>0.34564843109160093</v>
      </c>
      <c r="O6" s="7">
        <f>$B6 * IFERROR(VLOOKUP("buildings|PM25|Asthma symptoms cough", US_national_yearly!$D:$AM, 23, FALSE) / VLOOKUP("buildings|PM25|Asthma symptoms cough", US_national_yearly!$D:$AM, 10, FALSE), 1)</f>
        <v>0.34564843109160093</v>
      </c>
      <c r="P6" s="7">
        <f>$B6 * IFERROR(VLOOKUP("buildings|PM25|Asthma symptoms cough", US_national_yearly!$D:$AM, 24, FALSE) / VLOOKUP("buildings|PM25|Asthma symptoms cough", US_national_yearly!$D:$AM, 10, FALSE), 1)</f>
        <v>0.34564843109160093</v>
      </c>
      <c r="Q6" s="7">
        <f>$B6 * IFERROR(VLOOKUP("buildings|PM25|Asthma symptoms cough", US_national_yearly!$D:$AM, 25, FALSE) / VLOOKUP("buildings|PM25|Asthma symptoms cough", US_national_yearly!$D:$AM, 10, FALSE), 1)</f>
        <v>0.34564843109160093</v>
      </c>
      <c r="R6" s="7">
        <f>$B6 * IFERROR(VLOOKUP("buildings|PM25|Asthma symptoms cough", US_national_yearly!$D:$AM, 26, FALSE) / VLOOKUP("buildings|PM25|Asthma symptoms cough", US_national_yearly!$D:$AM, 10, FALSE), 1)</f>
        <v>0.34564843109160093</v>
      </c>
      <c r="S6" s="7">
        <f>$B6 * IFERROR(VLOOKUP("buildings|PM25|Asthma symptoms cough", US_national_yearly!$D:$AM, 27, FALSE) / VLOOKUP("buildings|PM25|Asthma symptoms cough", US_national_yearly!$D:$AM, 10, FALSE), 1)</f>
        <v>0.34564843109160093</v>
      </c>
      <c r="T6" s="7">
        <f>$B6 * IFERROR(VLOOKUP("buildings|PM25|Asthma symptoms cough", US_national_yearly!$D:$AM, 28, FALSE) / VLOOKUP("buildings|PM25|Asthma symptoms cough", US_national_yearly!$D:$AM, 10, FALSE), 1)</f>
        <v>0.34564843109160093</v>
      </c>
      <c r="U6" s="7">
        <f>$B6 * IFERROR(VLOOKUP("buildings|PM25|Asthma symptoms cough", US_national_yearly!$D:$AM, 29, FALSE) / VLOOKUP("buildings|PM25|Asthma symptoms cough", US_national_yearly!$D:$AM, 10, FALSE), 1)</f>
        <v>0.34564843109160093</v>
      </c>
      <c r="V6" s="7">
        <f>$B6 * IFERROR(VLOOKUP("buildings|PM25|Asthma symptoms cough", US_national_yearly!$D:$AM, 30, FALSE) / VLOOKUP("buildings|PM25|Asthma symptoms cough", US_national_yearly!$D:$AM, 10, FALSE), 1)</f>
        <v>0.34564843109160093</v>
      </c>
      <c r="W6" s="7">
        <f>$B6 * IFERROR(VLOOKUP("buildings|PM25|Asthma symptoms cough", US_national_yearly!$D:$AM, 31, FALSE) / VLOOKUP("buildings|PM25|Asthma symptoms cough", US_national_yearly!$D:$AM, 10, FALSE), 1)</f>
        <v>0.34564843109160093</v>
      </c>
      <c r="X6" s="7">
        <f>$B6 * IFERROR(VLOOKUP("buildings|PM25|Asthma symptoms cough", US_national_yearly!$D:$AM, 32, FALSE) / VLOOKUP("buildings|PM25|Asthma symptoms cough", US_national_yearly!$D:$AM, 10, FALSE), 1)</f>
        <v>0.34564843109160093</v>
      </c>
      <c r="Y6" s="7">
        <f>$B6 * IFERROR(VLOOKUP("buildings|PM25|Asthma symptoms cough", US_national_yearly!$D:$AM, 33, FALSE) / VLOOKUP("buildings|PM25|Asthma symptoms cough", US_national_yearly!$D:$AM, 10, FALSE), 1)</f>
        <v>0.34564843109160093</v>
      </c>
      <c r="Z6" s="7">
        <f>$B6 * IFERROR(VLOOKUP("buildings|PM25|Asthma symptoms cough", US_national_yearly!$D:$AM, 34, FALSE) / VLOOKUP("buildings|PM25|Asthma symptoms cough", US_national_yearly!$D:$AM, 10, FALSE), 1)</f>
        <v>0.34564843109160093</v>
      </c>
      <c r="AA6" s="7">
        <f>$B6 * IFERROR(VLOOKUP("buildings|PM25|Asthma symptoms cough", US_national_yearly!$D:$AM, 35, FALSE) / VLOOKUP("buildings|PM25|Asthma symptoms cough", US_national_yearly!$D:$AM, 10, FALSE), 1)</f>
        <v>0.34564843109160093</v>
      </c>
      <c r="AB6" s="7">
        <f>$B6 * IFERROR(VLOOKUP("buildings|PM25|Asthma symptoms cough", US_national_yearly!$D:$AM, 36, FALSE) / VLOOKUP("buildings|PM25|Asthma symptoms cough", US_national_yearly!$D:$AM, 10, FALSE), 1)</f>
        <v>0.34564843109160093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0.46544974133680256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0.46544974133680256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0.46544974133680256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0.46544974133680256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0.46544974133680256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0.46544974133680256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0.46544974133680256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0.46544974133680256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0.46544974133680256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0.46544974133680256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0.46544974133680256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0.46544974133680256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0.46544974133680256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0.46544974133680256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0.46544974133680256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0.46544974133680256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0.46544974133680256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0.46544974133680256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0.46544974133680256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0.46544974133680256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0.46544974133680256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0.46544974133680256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0.46544974133680256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0.46544974133680256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0.46544974133680256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0.46544974133680256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0.46544974133680256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0.71118546135722749</v>
      </c>
      <c r="C8" s="7">
        <f>$B8 * IFERROR(VLOOKUP("buildings|PM25|Asthma symptoms wheeze", US_national_yearly!$D:$AM, 11, FALSE) / VLOOKUP("buildings|PM25|Asthma symptoms wheeze", US_national_yearly!$D:$AM, 10, FALSE), 1)</f>
        <v>0.71118546135722749</v>
      </c>
      <c r="D8" s="7">
        <f>$B8 * IFERROR(VLOOKUP("buildings|PM25|Asthma symptoms wheeze", US_national_yearly!$D:$AM, 12, FALSE) / VLOOKUP("buildings|PM25|Asthma symptoms wheeze", US_national_yearly!$D:$AM, 10, FALSE), 1)</f>
        <v>0.71118546135722749</v>
      </c>
      <c r="E8" s="7">
        <f>$B8 * IFERROR(VLOOKUP("buildings|PM25|Asthma symptoms wheeze", US_national_yearly!$D:$AM, 13, FALSE) / VLOOKUP("buildings|PM25|Asthma symptoms wheeze", US_national_yearly!$D:$AM, 10, FALSE), 1)</f>
        <v>0.71118546135722749</v>
      </c>
      <c r="F8" s="7">
        <f>$B8 * IFERROR(VLOOKUP("buildings|PM25|Asthma symptoms wheeze", US_national_yearly!$D:$AM, 14, FALSE) / VLOOKUP("buildings|PM25|Asthma symptoms wheeze", US_national_yearly!$D:$AM, 10, FALSE), 1)</f>
        <v>0.71118546135722749</v>
      </c>
      <c r="G8" s="7">
        <f>$B8 * IFERROR(VLOOKUP("buildings|PM25|Asthma symptoms wheeze", US_national_yearly!$D:$AM, 15, FALSE) / VLOOKUP("buildings|PM25|Asthma symptoms wheeze", US_national_yearly!$D:$AM, 10, FALSE), 1)</f>
        <v>0.71118546135722749</v>
      </c>
      <c r="H8" s="7">
        <f>$B8 * IFERROR(VLOOKUP("buildings|PM25|Asthma symptoms wheeze", US_national_yearly!$D:$AM, 16, FALSE) / VLOOKUP("buildings|PM25|Asthma symptoms wheeze", US_national_yearly!$D:$AM, 10, FALSE), 1)</f>
        <v>0.71118546135722749</v>
      </c>
      <c r="I8" s="7">
        <f>$B8 * IFERROR(VLOOKUP("buildings|PM25|Asthma symptoms wheeze", US_national_yearly!$D:$AM, 17, FALSE) / VLOOKUP("buildings|PM25|Asthma symptoms wheeze", US_national_yearly!$D:$AM, 10, FALSE), 1)</f>
        <v>0.71118546135722749</v>
      </c>
      <c r="J8" s="7">
        <f>$B8 * IFERROR(VLOOKUP("buildings|PM25|Asthma symptoms wheeze", US_national_yearly!$D:$AM, 18, FALSE) / VLOOKUP("buildings|PM25|Asthma symptoms wheeze", US_national_yearly!$D:$AM, 10, FALSE), 1)</f>
        <v>0.71118546135722749</v>
      </c>
      <c r="K8" s="7">
        <f>$B8 * IFERROR(VLOOKUP("buildings|PM25|Asthma symptoms wheeze", US_national_yearly!$D:$AM, 19, FALSE) / VLOOKUP("buildings|PM25|Asthma symptoms wheeze", US_national_yearly!$D:$AM, 10, FALSE), 1)</f>
        <v>0.71118546135722749</v>
      </c>
      <c r="L8" s="7">
        <f>$B8 * IFERROR(VLOOKUP("buildings|PM25|Asthma symptoms wheeze", US_national_yearly!$D:$AM, 20, FALSE) / VLOOKUP("buildings|PM25|Asthma symptoms wheeze", US_national_yearly!$D:$AM, 10, FALSE), 1)</f>
        <v>0.71118546135722749</v>
      </c>
      <c r="M8" s="7">
        <f>$B8 * IFERROR(VLOOKUP("buildings|PM25|Asthma symptoms wheeze", US_national_yearly!$D:$AM, 21, FALSE) / VLOOKUP("buildings|PM25|Asthma symptoms wheeze", US_national_yearly!$D:$AM, 10, FALSE), 1)</f>
        <v>0.71118546135722749</v>
      </c>
      <c r="N8" s="7">
        <f>$B8 * IFERROR(VLOOKUP("buildings|PM25|Asthma symptoms wheeze", US_national_yearly!$D:$AM, 22, FALSE) / VLOOKUP("buildings|PM25|Asthma symptoms wheeze", US_national_yearly!$D:$AM, 10, FALSE), 1)</f>
        <v>0.71118546135722749</v>
      </c>
      <c r="O8" s="7">
        <f>$B8 * IFERROR(VLOOKUP("buildings|PM25|Asthma symptoms wheeze", US_national_yearly!$D:$AM, 23, FALSE) / VLOOKUP("buildings|PM25|Asthma symptoms wheeze", US_national_yearly!$D:$AM, 10, FALSE), 1)</f>
        <v>0.71118546135722749</v>
      </c>
      <c r="P8" s="7">
        <f>$B8 * IFERROR(VLOOKUP("buildings|PM25|Asthma symptoms wheeze", US_national_yearly!$D:$AM, 24, FALSE) / VLOOKUP("buildings|PM25|Asthma symptoms wheeze", US_national_yearly!$D:$AM, 10, FALSE), 1)</f>
        <v>0.71118546135722749</v>
      </c>
      <c r="Q8" s="7">
        <f>$B8 * IFERROR(VLOOKUP("buildings|PM25|Asthma symptoms wheeze", US_national_yearly!$D:$AM, 25, FALSE) / VLOOKUP("buildings|PM25|Asthma symptoms wheeze", US_national_yearly!$D:$AM, 10, FALSE), 1)</f>
        <v>0.71118546135722749</v>
      </c>
      <c r="R8" s="7">
        <f>$B8 * IFERROR(VLOOKUP("buildings|PM25|Asthma symptoms wheeze", US_national_yearly!$D:$AM, 26, FALSE) / VLOOKUP("buildings|PM25|Asthma symptoms wheeze", US_national_yearly!$D:$AM, 10, FALSE), 1)</f>
        <v>0.71118546135722749</v>
      </c>
      <c r="S8" s="7">
        <f>$B8 * IFERROR(VLOOKUP("buildings|PM25|Asthma symptoms wheeze", US_national_yearly!$D:$AM, 27, FALSE) / VLOOKUP("buildings|PM25|Asthma symptoms wheeze", US_national_yearly!$D:$AM, 10, FALSE), 1)</f>
        <v>0.71118546135722749</v>
      </c>
      <c r="T8" s="7">
        <f>$B8 * IFERROR(VLOOKUP("buildings|PM25|Asthma symptoms wheeze", US_national_yearly!$D:$AM, 28, FALSE) / VLOOKUP("buildings|PM25|Asthma symptoms wheeze", US_national_yearly!$D:$AM, 10, FALSE), 1)</f>
        <v>0.71118546135722749</v>
      </c>
      <c r="U8" s="7">
        <f>$B8 * IFERROR(VLOOKUP("buildings|PM25|Asthma symptoms wheeze", US_national_yearly!$D:$AM, 29, FALSE) / VLOOKUP("buildings|PM25|Asthma symptoms wheeze", US_national_yearly!$D:$AM, 10, FALSE), 1)</f>
        <v>0.71118546135722749</v>
      </c>
      <c r="V8" s="7">
        <f>$B8 * IFERROR(VLOOKUP("buildings|PM25|Asthma symptoms wheeze", US_national_yearly!$D:$AM, 30, FALSE) / VLOOKUP("buildings|PM25|Asthma symptoms wheeze", US_national_yearly!$D:$AM, 10, FALSE), 1)</f>
        <v>0.71118546135722749</v>
      </c>
      <c r="W8" s="7">
        <f>$B8 * IFERROR(VLOOKUP("buildings|PM25|Asthma symptoms wheeze", US_national_yearly!$D:$AM, 31, FALSE) / VLOOKUP("buildings|PM25|Asthma symptoms wheeze", US_national_yearly!$D:$AM, 10, FALSE), 1)</f>
        <v>0.71118546135722749</v>
      </c>
      <c r="X8" s="7">
        <f>$B8 * IFERROR(VLOOKUP("buildings|PM25|Asthma symptoms wheeze", US_national_yearly!$D:$AM, 32, FALSE) / VLOOKUP("buildings|PM25|Asthma symptoms wheeze", US_national_yearly!$D:$AM, 10, FALSE), 1)</f>
        <v>0.71118546135722749</v>
      </c>
      <c r="Y8" s="7">
        <f>$B8 * IFERROR(VLOOKUP("buildings|PM25|Asthma symptoms wheeze", US_national_yearly!$D:$AM, 33, FALSE) / VLOOKUP("buildings|PM25|Asthma symptoms wheeze", US_national_yearly!$D:$AM, 10, FALSE), 1)</f>
        <v>0.71118546135722749</v>
      </c>
      <c r="Z8" s="7">
        <f>$B8 * IFERROR(VLOOKUP("buildings|PM25|Asthma symptoms wheeze", US_national_yearly!$D:$AM, 34, FALSE) / VLOOKUP("buildings|PM25|Asthma symptoms wheeze", US_national_yearly!$D:$AM, 10, FALSE), 1)</f>
        <v>0.71118546135722749</v>
      </c>
      <c r="AA8" s="7">
        <f>$B8 * IFERROR(VLOOKUP("buildings|PM25|Asthma symptoms wheeze", US_national_yearly!$D:$AM, 35, FALSE) / VLOOKUP("buildings|PM25|Asthma symptoms wheeze", US_national_yearly!$D:$AM, 10, FALSE), 1)</f>
        <v>0.71118546135722749</v>
      </c>
      <c r="AB8" s="7">
        <f>$B8 * IFERROR(VLOOKUP("buildings|PM25|Asthma symptoms wheeze", US_national_yearly!$D:$AM, 36, FALSE) / VLOOKUP("buildings|PM25|Asthma symptoms wheeze", US_national_yearly!$D:$AM, 10, FALSE), 1)</f>
        <v>0.71118546135722749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8.5578511683649678E-3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8.6071800453902461E-3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8.6565089224155279E-3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8.7058377994408079E-3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8.755166676466088E-3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8.8083971050144753E-3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8.8616275335628627E-3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8.9122544846483385E-3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8.9628814357338125E-3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9.0135083868192883E-3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9.0641353379047641E-3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9.1147622889902382E-3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9.1511767814158648E-3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9.1875912738414913E-3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9.2240057662671179E-3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9.2604202586927427E-3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9.2968347511183692E-3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9.3315294930353954E-3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9.3662242349524267E-3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9.4009189768694528E-3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9.4356137187864789E-3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9.4703084607035103E-3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9.503818081655591E-3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9.5373277026076734E-3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9.5708373235597541E-3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9.6043469445118382E-3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9.6378565654639189E-3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5.3434920666137149E-2</v>
      </c>
      <c r="C13" s="7">
        <f>$B13 * IFERROR(VLOOKUP("buildings|PM25|Non-fatal heart attacks", US_national_yearly!$D:$AM, 11, FALSE) / VLOOKUP("buildings|PM25|Non-fatal heart attacks", US_national_yearly!$D:$AM, 10, FALSE), 1)</f>
        <v>5.4989150945622678E-2</v>
      </c>
      <c r="D13" s="7">
        <f>$B13 * IFERROR(VLOOKUP("buildings|PM25|Non-fatal heart attacks", US_national_yearly!$D:$AM, 12, FALSE) / VLOOKUP("buildings|PM25|Non-fatal heart attacks", US_national_yearly!$D:$AM, 10, FALSE), 1)</f>
        <v>5.65433812251082E-2</v>
      </c>
      <c r="E13" s="7">
        <f>$B13 * IFERROR(VLOOKUP("buildings|PM25|Non-fatal heart attacks", US_national_yearly!$D:$AM, 13, FALSE) / VLOOKUP("buildings|PM25|Non-fatal heart attacks", US_national_yearly!$D:$AM, 10, FALSE), 1)</f>
        <v>5.8097611504593721E-2</v>
      </c>
      <c r="F13" s="7">
        <f>$B13 * IFERROR(VLOOKUP("buildings|PM25|Non-fatal heart attacks", US_national_yearly!$D:$AM, 14, FALSE) / VLOOKUP("buildings|PM25|Non-fatal heart attacks", US_national_yearly!$D:$AM, 10, FALSE), 1)</f>
        <v>5.965184178407925E-2</v>
      </c>
      <c r="G13" s="7">
        <f>$B13 * IFERROR(VLOOKUP("buildings|PM25|Non-fatal heart attacks", US_national_yearly!$D:$AM, 15, FALSE) / VLOOKUP("buildings|PM25|Non-fatal heart attacks", US_national_yearly!$D:$AM, 10, FALSE), 1)</f>
        <v>6.11183468228974E-2</v>
      </c>
      <c r="H13" s="7">
        <f>$B13 * IFERROR(VLOOKUP("buildings|PM25|Non-fatal heart attacks", US_national_yearly!$D:$AM, 16, FALSE) / VLOOKUP("buildings|PM25|Non-fatal heart attacks", US_national_yearly!$D:$AM, 10, FALSE), 1)</f>
        <v>6.2584851861715515E-2</v>
      </c>
      <c r="I13" s="7">
        <f>$B13 * IFERROR(VLOOKUP("buildings|PM25|Non-fatal heart attacks", US_national_yearly!$D:$AM, 17, FALSE) / VLOOKUP("buildings|PM25|Non-fatal heart attacks", US_national_yearly!$D:$AM, 10, FALSE), 1)</f>
        <v>6.3764769067192251E-2</v>
      </c>
      <c r="J13" s="7">
        <f>$B13 * IFERROR(VLOOKUP("buildings|PM25|Non-fatal heart attacks", US_national_yearly!$D:$AM, 18, FALSE) / VLOOKUP("buildings|PM25|Non-fatal heart attacks", US_national_yearly!$D:$AM, 10, FALSE), 1)</f>
        <v>6.4944686272668972E-2</v>
      </c>
      <c r="K13" s="7">
        <f>$B13 * IFERROR(VLOOKUP("buildings|PM25|Non-fatal heart attacks", US_national_yearly!$D:$AM, 19, FALSE) / VLOOKUP("buildings|PM25|Non-fatal heart attacks", US_national_yearly!$D:$AM, 10, FALSE), 1)</f>
        <v>6.612460347814568E-2</v>
      </c>
      <c r="L13" s="7">
        <f>$B13 * IFERROR(VLOOKUP("buildings|PM25|Non-fatal heart attacks", US_national_yearly!$D:$AM, 20, FALSE) / VLOOKUP("buildings|PM25|Non-fatal heart attacks", US_national_yearly!$D:$AM, 10, FALSE), 1)</f>
        <v>6.7304520683622387E-2</v>
      </c>
      <c r="M13" s="7">
        <f>$B13 * IFERROR(VLOOKUP("buildings|PM25|Non-fatal heart attacks", US_national_yearly!$D:$AM, 21, FALSE) / VLOOKUP("buildings|PM25|Non-fatal heart attacks", US_national_yearly!$D:$AM, 10, FALSE), 1)</f>
        <v>6.8484437889099109E-2</v>
      </c>
      <c r="N13" s="7">
        <f>$B13 * IFERROR(VLOOKUP("buildings|PM25|Non-fatal heart attacks", US_national_yearly!$D:$AM, 22, FALSE) / VLOOKUP("buildings|PM25|Non-fatal heart attacks", US_national_yearly!$D:$AM, 10, FALSE), 1)</f>
        <v>6.9246682838012649E-2</v>
      </c>
      <c r="O13" s="7">
        <f>$B13 * IFERROR(VLOOKUP("buildings|PM25|Non-fatal heart attacks", US_national_yearly!$D:$AM, 23, FALSE) / VLOOKUP("buildings|PM25|Non-fatal heart attacks", US_national_yearly!$D:$AM, 10, FALSE), 1)</f>
        <v>7.0008927786926189E-2</v>
      </c>
      <c r="P13" s="7">
        <f>$B13 * IFERROR(VLOOKUP("buildings|PM25|Non-fatal heart attacks", US_national_yearly!$D:$AM, 24, FALSE) / VLOOKUP("buildings|PM25|Non-fatal heart attacks", US_national_yearly!$D:$AM, 10, FALSE), 1)</f>
        <v>7.077117273583973E-2</v>
      </c>
      <c r="Q13" s="7">
        <f>$B13 * IFERROR(VLOOKUP("buildings|PM25|Non-fatal heart attacks", US_national_yearly!$D:$AM, 25, FALSE) / VLOOKUP("buildings|PM25|Non-fatal heart attacks", US_national_yearly!$D:$AM, 10, FALSE), 1)</f>
        <v>7.153341768475327E-2</v>
      </c>
      <c r="R13" s="7">
        <f>$B13 * IFERROR(VLOOKUP("buildings|PM25|Non-fatal heart attacks", US_national_yearly!$D:$AM, 26, FALSE) / VLOOKUP("buildings|PM25|Non-fatal heart attacks", US_national_yearly!$D:$AM, 10, FALSE), 1)</f>
        <v>7.229566263366681E-2</v>
      </c>
      <c r="S13" s="7">
        <f>$B13 * IFERROR(VLOOKUP("buildings|PM25|Non-fatal heart attacks", US_national_yearly!$D:$AM, 27, FALSE) / VLOOKUP("buildings|PM25|Non-fatal heart attacks", US_national_yearly!$D:$AM, 10, FALSE), 1)</f>
        <v>7.2698821260403876E-2</v>
      </c>
      <c r="T13" s="7">
        <f>$B13 * IFERROR(VLOOKUP("buildings|PM25|Non-fatal heart attacks", US_national_yearly!$D:$AM, 28, FALSE) / VLOOKUP("buildings|PM25|Non-fatal heart attacks", US_national_yearly!$D:$AM, 10, FALSE), 1)</f>
        <v>7.3101979887140942E-2</v>
      </c>
      <c r="U13" s="7">
        <f>$B13 * IFERROR(VLOOKUP("buildings|PM25|Non-fatal heart attacks", US_national_yearly!$D:$AM, 29, FALSE) / VLOOKUP("buildings|PM25|Non-fatal heart attacks", US_national_yearly!$D:$AM, 10, FALSE), 1)</f>
        <v>7.3505138513878021E-2</v>
      </c>
      <c r="V13" s="7">
        <f>$B13 * IFERROR(VLOOKUP("buildings|PM25|Non-fatal heart attacks", US_national_yearly!$D:$AM, 30, FALSE) / VLOOKUP("buildings|PM25|Non-fatal heart attacks", US_national_yearly!$D:$AM, 10, FALSE), 1)</f>
        <v>7.3908297140615087E-2</v>
      </c>
      <c r="W13" s="7">
        <f>$B13 * IFERROR(VLOOKUP("buildings|PM25|Non-fatal heart attacks", US_national_yearly!$D:$AM, 31, FALSE) / VLOOKUP("buildings|PM25|Non-fatal heart attacks", US_national_yearly!$D:$AM, 10, FALSE), 1)</f>
        <v>7.4311455767352153E-2</v>
      </c>
      <c r="X13" s="7">
        <f>$B13 * IFERROR(VLOOKUP("buildings|PM25|Non-fatal heart attacks", US_national_yearly!$D:$AM, 32, FALSE) / VLOOKUP("buildings|PM25|Non-fatal heart attacks", US_national_yearly!$D:$AM, 10, FALSE), 1)</f>
        <v>7.461828892832896E-2</v>
      </c>
      <c r="Y13" s="7">
        <f>$B13 * IFERROR(VLOOKUP("buildings|PM25|Non-fatal heart attacks", US_national_yearly!$D:$AM, 33, FALSE) / VLOOKUP("buildings|PM25|Non-fatal heart attacks", US_national_yearly!$D:$AM, 10, FALSE), 1)</f>
        <v>7.4925122089305782E-2</v>
      </c>
      <c r="Z13" s="7">
        <f>$B13 * IFERROR(VLOOKUP("buildings|PM25|Non-fatal heart attacks", US_national_yearly!$D:$AM, 34, FALSE) / VLOOKUP("buildings|PM25|Non-fatal heart attacks", US_national_yearly!$D:$AM, 10, FALSE), 1)</f>
        <v>7.5231955250282576E-2</v>
      </c>
      <c r="AA13" s="7">
        <f>$B13 * IFERROR(VLOOKUP("buildings|PM25|Non-fatal heart attacks", US_national_yearly!$D:$AM, 35, FALSE) / VLOOKUP("buildings|PM25|Non-fatal heart attacks", US_national_yearly!$D:$AM, 10, FALSE), 1)</f>
        <v>7.5538788411259383E-2</v>
      </c>
      <c r="AB13" s="7">
        <f>$B13 * IFERROR(VLOOKUP("buildings|PM25|Non-fatal heart attacks", US_national_yearly!$D:$AM, 36, FALSE) / VLOOKUP("buildings|PM25|Non-fatal heart attacks", US_national_yearly!$D:$AM, 10, FALSE), 1)</f>
        <v>7.5845621572236205E-2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47.173127219998761</v>
      </c>
      <c r="C14" s="7">
        <f>$B14 * IFERROR(VLOOKUP("buildings|PM25|Minor restricted activity days", US_national_yearly!$D:$AM, 11, FALSE) / VLOOKUP("buildings|PM25|Minor restricted activity days", US_national_yearly!$D:$AM, 10, FALSE), 1)</f>
        <v>47.290449432036283</v>
      </c>
      <c r="D14" s="7">
        <f>$B14 * IFERROR(VLOOKUP("buildings|PM25|Minor restricted activity days", US_national_yearly!$D:$AM, 12, FALSE) / VLOOKUP("buildings|PM25|Minor restricted activity days", US_national_yearly!$D:$AM, 10, FALSE), 1)</f>
        <v>47.407771644073804</v>
      </c>
      <c r="E14" s="7">
        <f>$B14 * IFERROR(VLOOKUP("buildings|PM25|Minor restricted activity days", US_national_yearly!$D:$AM, 13, FALSE) / VLOOKUP("buildings|PM25|Minor restricted activity days", US_national_yearly!$D:$AM, 10, FALSE), 1)</f>
        <v>47.525093856111333</v>
      </c>
      <c r="F14" s="7">
        <f>$B14 * IFERROR(VLOOKUP("buildings|PM25|Minor restricted activity days", US_national_yearly!$D:$AM, 14, FALSE) / VLOOKUP("buildings|PM25|Minor restricted activity days", US_national_yearly!$D:$AM, 10, FALSE), 1)</f>
        <v>47.64241606814884</v>
      </c>
      <c r="G14" s="7">
        <f>$B14 * IFERROR(VLOOKUP("buildings|PM25|Minor restricted activity days", US_national_yearly!$D:$AM, 15, FALSE) / VLOOKUP("buildings|PM25|Minor restricted activity days", US_national_yearly!$D:$AM, 10, FALSE), 1)</f>
        <v>47.814492131637131</v>
      </c>
      <c r="H14" s="7">
        <f>$B14 * IFERROR(VLOOKUP("buildings|PM25|Minor restricted activity days", US_national_yearly!$D:$AM, 16, FALSE) / VLOOKUP("buildings|PM25|Minor restricted activity days", US_national_yearly!$D:$AM, 10, FALSE), 1)</f>
        <v>47.986568195125393</v>
      </c>
      <c r="I14" s="7">
        <f>$B14 * IFERROR(VLOOKUP("buildings|PM25|Minor restricted activity days", US_national_yearly!$D:$AM, 17, FALSE) / VLOOKUP("buildings|PM25|Minor restricted activity days", US_national_yearly!$D:$AM, 10, FALSE), 1)</f>
        <v>48.279174748201264</v>
      </c>
      <c r="J14" s="7">
        <f>$B14 * IFERROR(VLOOKUP("buildings|PM25|Minor restricted activity days", US_national_yearly!$D:$AM, 18, FALSE) / VLOOKUP("buildings|PM25|Minor restricted activity days", US_national_yearly!$D:$AM, 10, FALSE), 1)</f>
        <v>48.571781301277156</v>
      </c>
      <c r="K14" s="7">
        <f>$B14 * IFERROR(VLOOKUP("buildings|PM25|Minor restricted activity days", US_national_yearly!$D:$AM, 19, FALSE) / VLOOKUP("buildings|PM25|Minor restricted activity days", US_national_yearly!$D:$AM, 10, FALSE), 1)</f>
        <v>48.864387854353012</v>
      </c>
      <c r="L14" s="7">
        <f>$B14 * IFERROR(VLOOKUP("buildings|PM25|Minor restricted activity days", US_national_yearly!$D:$AM, 20, FALSE) / VLOOKUP("buildings|PM25|Minor restricted activity days", US_national_yearly!$D:$AM, 10, FALSE), 1)</f>
        <v>49.156994407428868</v>
      </c>
      <c r="M14" s="7">
        <f>$B14 * IFERROR(VLOOKUP("buildings|PM25|Minor restricted activity days", US_national_yearly!$D:$AM, 21, FALSE) / VLOOKUP("buildings|PM25|Minor restricted activity days", US_national_yearly!$D:$AM, 10, FALSE), 1)</f>
        <v>49.449600960504732</v>
      </c>
      <c r="N14" s="7">
        <f>$B14 * IFERROR(VLOOKUP("buildings|PM25|Minor restricted activity days", US_national_yearly!$D:$AM, 22, FALSE) / VLOOKUP("buildings|PM25|Minor restricted activity days", US_national_yearly!$D:$AM, 10, FALSE), 1)</f>
        <v>49.847182670796641</v>
      </c>
      <c r="O14" s="7">
        <f>$B14 * IFERROR(VLOOKUP("buildings|PM25|Minor restricted activity days", US_national_yearly!$D:$AM, 23, FALSE) / VLOOKUP("buildings|PM25|Minor restricted activity days", US_national_yearly!$D:$AM, 10, FALSE), 1)</f>
        <v>50.244764381088537</v>
      </c>
      <c r="P14" s="7">
        <f>$B14 * IFERROR(VLOOKUP("buildings|PM25|Minor restricted activity days", US_national_yearly!$D:$AM, 24, FALSE) / VLOOKUP("buildings|PM25|Minor restricted activity days", US_national_yearly!$D:$AM, 10, FALSE), 1)</f>
        <v>50.642346091380432</v>
      </c>
      <c r="Q14" s="7">
        <f>$B14 * IFERROR(VLOOKUP("buildings|PM25|Minor restricted activity days", US_national_yearly!$D:$AM, 25, FALSE) / VLOOKUP("buildings|PM25|Minor restricted activity days", US_national_yearly!$D:$AM, 10, FALSE), 1)</f>
        <v>51.039927801672327</v>
      </c>
      <c r="R14" s="7">
        <f>$B14 * IFERROR(VLOOKUP("buildings|PM25|Minor restricted activity days", US_national_yearly!$D:$AM, 26, FALSE) / VLOOKUP("buildings|PM25|Minor restricted activity days", US_national_yearly!$D:$AM, 10, FALSE), 1)</f>
        <v>51.437509511964222</v>
      </c>
      <c r="S14" s="7">
        <f>$B14 * IFERROR(VLOOKUP("buildings|PM25|Minor restricted activity days", US_national_yearly!$D:$AM, 27, FALSE) / VLOOKUP("buildings|PM25|Minor restricted activity days", US_national_yearly!$D:$AM, 10, FALSE), 1)</f>
        <v>51.837555057622062</v>
      </c>
      <c r="T14" s="7">
        <f>$B14 * IFERROR(VLOOKUP("buildings|PM25|Minor restricted activity days", US_national_yearly!$D:$AM, 28, FALSE) / VLOOKUP("buildings|PM25|Minor restricted activity days", US_national_yearly!$D:$AM, 10, FALSE), 1)</f>
        <v>52.237600603279887</v>
      </c>
      <c r="U14" s="7">
        <f>$B14 * IFERROR(VLOOKUP("buildings|PM25|Minor restricted activity days", US_national_yearly!$D:$AM, 29, FALSE) / VLOOKUP("buildings|PM25|Minor restricted activity days", US_national_yearly!$D:$AM, 10, FALSE), 1)</f>
        <v>52.637646148937726</v>
      </c>
      <c r="V14" s="7">
        <f>$B14 * IFERROR(VLOOKUP("buildings|PM25|Minor restricted activity days", US_national_yearly!$D:$AM, 30, FALSE) / VLOOKUP("buildings|PM25|Minor restricted activity days", US_national_yearly!$D:$AM, 10, FALSE), 1)</f>
        <v>53.037691694595559</v>
      </c>
      <c r="W14" s="7">
        <f>$B14 * IFERROR(VLOOKUP("buildings|PM25|Minor restricted activity days", US_national_yearly!$D:$AM, 31, FALSE) / VLOOKUP("buildings|PM25|Minor restricted activity days", US_national_yearly!$D:$AM, 10, FALSE), 1)</f>
        <v>53.437737240253398</v>
      </c>
      <c r="X14" s="7">
        <f>$B14 * IFERROR(VLOOKUP("buildings|PM25|Minor restricted activity days", US_national_yearly!$D:$AM, 32, FALSE) / VLOOKUP("buildings|PM25|Minor restricted activity days", US_national_yearly!$D:$AM, 10, FALSE), 1)</f>
        <v>53.785099023946401</v>
      </c>
      <c r="Y14" s="7">
        <f>$B14 * IFERROR(VLOOKUP("buildings|PM25|Minor restricted activity days", US_national_yearly!$D:$AM, 33, FALSE) / VLOOKUP("buildings|PM25|Minor restricted activity days", US_national_yearly!$D:$AM, 10, FALSE), 1)</f>
        <v>54.132460807639397</v>
      </c>
      <c r="Z14" s="7">
        <f>$B14 * IFERROR(VLOOKUP("buildings|PM25|Minor restricted activity days", US_national_yearly!$D:$AM, 34, FALSE) / VLOOKUP("buildings|PM25|Minor restricted activity days", US_national_yearly!$D:$AM, 10, FALSE), 1)</f>
        <v>54.479822591332379</v>
      </c>
      <c r="AA14" s="7">
        <f>$B14 * IFERROR(VLOOKUP("buildings|PM25|Minor restricted activity days", US_national_yearly!$D:$AM, 35, FALSE) / VLOOKUP("buildings|PM25|Minor restricted activity days", US_national_yearly!$D:$AM, 10, FALSE), 1)</f>
        <v>54.827184375025375</v>
      </c>
      <c r="AB14" s="7">
        <f>$B14 * IFERROR(VLOOKUP("buildings|PM25|Minor restricted activity days", US_national_yearly!$D:$AM, 36, FALSE) / VLOOKUP("buildings|PM25|Minor restricted activity days", US_national_yearly!$D:$AM, 10, FALSE), 1)</f>
        <v>55.174546158718371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8.075289953539551</v>
      </c>
      <c r="C15" s="7">
        <f>$B15 * IFERROR(VLOOKUP("buildings|PM25|Work loss days", US_national_yearly!$D:$AM, 11, FALSE) / VLOOKUP("buildings|PM25|Work loss days", US_national_yearly!$D:$AM, 10, FALSE), 1)</f>
        <v>8.1006319549317478</v>
      </c>
      <c r="D15" s="7">
        <f>$B15 * IFERROR(VLOOKUP("buildings|PM25|Work loss days", US_national_yearly!$D:$AM, 12, FALSE) / VLOOKUP("buildings|PM25|Work loss days", US_national_yearly!$D:$AM, 10, FALSE), 1)</f>
        <v>8.1259739563239446</v>
      </c>
      <c r="E15" s="7">
        <f>$B15 * IFERROR(VLOOKUP("buildings|PM25|Work loss days", US_national_yearly!$D:$AM, 13, FALSE) / VLOOKUP("buildings|PM25|Work loss days", US_national_yearly!$D:$AM, 10, FALSE), 1)</f>
        <v>8.1513159577161396</v>
      </c>
      <c r="F15" s="7">
        <f>$B15 * IFERROR(VLOOKUP("buildings|PM25|Work loss days", US_national_yearly!$D:$AM, 14, FALSE) / VLOOKUP("buildings|PM25|Work loss days", US_national_yearly!$D:$AM, 10, FALSE), 1)</f>
        <v>8.1766579591083346</v>
      </c>
      <c r="G15" s="7">
        <f>$B15 * IFERROR(VLOOKUP("buildings|PM25|Work loss days", US_national_yearly!$D:$AM, 15, FALSE) / VLOOKUP("buildings|PM25|Work loss days", US_national_yearly!$D:$AM, 10, FALSE), 1)</f>
        <v>8.2097822259295352</v>
      </c>
      <c r="H15" s="7">
        <f>$B15 * IFERROR(VLOOKUP("buildings|PM25|Work loss days", US_national_yearly!$D:$AM, 16, FALSE) / VLOOKUP("buildings|PM25|Work loss days", US_national_yearly!$D:$AM, 10, FALSE), 1)</f>
        <v>8.2429064927507341</v>
      </c>
      <c r="I15" s="7">
        <f>$B15 * IFERROR(VLOOKUP("buildings|PM25|Work loss days", US_national_yearly!$D:$AM, 17, FALSE) / VLOOKUP("buildings|PM25|Work loss days", US_national_yearly!$D:$AM, 10, FALSE), 1)</f>
        <v>8.2915549873166885</v>
      </c>
      <c r="J15" s="7">
        <f>$B15 * IFERROR(VLOOKUP("buildings|PM25|Work loss days", US_national_yearly!$D:$AM, 18, FALSE) / VLOOKUP("buildings|PM25|Work loss days", US_national_yearly!$D:$AM, 10, FALSE), 1)</f>
        <v>8.3402034818826429</v>
      </c>
      <c r="K15" s="7">
        <f>$B15 * IFERROR(VLOOKUP("buildings|PM25|Work loss days", US_national_yearly!$D:$AM, 19, FALSE) / VLOOKUP("buildings|PM25|Work loss days", US_national_yearly!$D:$AM, 10, FALSE), 1)</f>
        <v>8.3888519764485956</v>
      </c>
      <c r="L15" s="7">
        <f>$B15 * IFERROR(VLOOKUP("buildings|PM25|Work loss days", US_national_yearly!$D:$AM, 20, FALSE) / VLOOKUP("buildings|PM25|Work loss days", US_national_yearly!$D:$AM, 10, FALSE), 1)</f>
        <v>8.43750047101455</v>
      </c>
      <c r="M15" s="7">
        <f>$B15 * IFERROR(VLOOKUP("buildings|PM25|Work loss days", US_national_yearly!$D:$AM, 21, FALSE) / VLOOKUP("buildings|PM25|Work loss days", US_national_yearly!$D:$AM, 10, FALSE), 1)</f>
        <v>8.4861489655805045</v>
      </c>
      <c r="N15" s="7">
        <f>$B15 * IFERROR(VLOOKUP("buildings|PM25|Work loss days", US_national_yearly!$D:$AM, 22, FALSE) / VLOOKUP("buildings|PM25|Work loss days", US_national_yearly!$D:$AM, 10, FALSE), 1)</f>
        <v>8.5473130359437306</v>
      </c>
      <c r="O15" s="7">
        <f>$B15 * IFERROR(VLOOKUP("buildings|PM25|Work loss days", US_national_yearly!$D:$AM, 23, FALSE) / VLOOKUP("buildings|PM25|Work loss days", US_national_yearly!$D:$AM, 10, FALSE), 1)</f>
        <v>8.6084771063069585</v>
      </c>
      <c r="P15" s="7">
        <f>$B15 * IFERROR(VLOOKUP("buildings|PM25|Work loss days", US_national_yearly!$D:$AM, 24, FALSE) / VLOOKUP("buildings|PM25|Work loss days", US_national_yearly!$D:$AM, 10, FALSE), 1)</f>
        <v>8.6696411766701846</v>
      </c>
      <c r="Q15" s="7">
        <f>$B15 * IFERROR(VLOOKUP("buildings|PM25|Work loss days", US_national_yearly!$D:$AM, 25, FALSE) / VLOOKUP("buildings|PM25|Work loss days", US_national_yearly!$D:$AM, 10, FALSE), 1)</f>
        <v>8.7308052470334108</v>
      </c>
      <c r="R15" s="7">
        <f>$B15 * IFERROR(VLOOKUP("buildings|PM25|Work loss days", US_national_yearly!$D:$AM, 26, FALSE) / VLOOKUP("buildings|PM25|Work loss days", US_national_yearly!$D:$AM, 10, FALSE), 1)</f>
        <v>8.7919693173966369</v>
      </c>
      <c r="S15" s="7">
        <f>$B15 * IFERROR(VLOOKUP("buildings|PM25|Work loss days", US_national_yearly!$D:$AM, 27, FALSE) / VLOOKUP("buildings|PM25|Work loss days", US_national_yearly!$D:$AM, 10, FALSE), 1)</f>
        <v>8.8595326347920675</v>
      </c>
      <c r="T15" s="7">
        <f>$B15 * IFERROR(VLOOKUP("buildings|PM25|Work loss days", US_national_yearly!$D:$AM, 28, FALSE) / VLOOKUP("buildings|PM25|Work loss days", US_national_yearly!$D:$AM, 10, FALSE), 1)</f>
        <v>8.9270959521874982</v>
      </c>
      <c r="U15" s="7">
        <f>$B15 * IFERROR(VLOOKUP("buildings|PM25|Work loss days", US_national_yearly!$D:$AM, 29, FALSE) / VLOOKUP("buildings|PM25|Work loss days", US_national_yearly!$D:$AM, 10, FALSE), 1)</f>
        <v>8.9946592695829306</v>
      </c>
      <c r="V15" s="7">
        <f>$B15 * IFERROR(VLOOKUP("buildings|PM25|Work loss days", US_national_yearly!$D:$AM, 30, FALSE) / VLOOKUP("buildings|PM25|Work loss days", US_national_yearly!$D:$AM, 10, FALSE), 1)</f>
        <v>9.0622225869783612</v>
      </c>
      <c r="W15" s="7">
        <f>$B15 * IFERROR(VLOOKUP("buildings|PM25|Work loss days", US_national_yearly!$D:$AM, 31, FALSE) / VLOOKUP("buildings|PM25|Work loss days", US_national_yearly!$D:$AM, 10, FALSE), 1)</f>
        <v>9.1297859043737919</v>
      </c>
      <c r="X15" s="7">
        <f>$B15 * IFERROR(VLOOKUP("buildings|PM25|Work loss days", US_national_yearly!$D:$AM, 32, FALSE) / VLOOKUP("buildings|PM25|Work loss days", US_national_yearly!$D:$AM, 10, FALSE), 1)</f>
        <v>9.1897419091422829</v>
      </c>
      <c r="Y15" s="7">
        <f>$B15 * IFERROR(VLOOKUP("buildings|PM25|Work loss days", US_national_yearly!$D:$AM, 33, FALSE) / VLOOKUP("buildings|PM25|Work loss days", US_national_yearly!$D:$AM, 10, FALSE), 1)</f>
        <v>9.249697913910774</v>
      </c>
      <c r="Z15" s="7">
        <f>$B15 * IFERROR(VLOOKUP("buildings|PM25|Work loss days", US_national_yearly!$D:$AM, 34, FALSE) / VLOOKUP("buildings|PM25|Work loss days", US_national_yearly!$D:$AM, 10, FALSE), 1)</f>
        <v>9.3096539186792651</v>
      </c>
      <c r="AA15" s="7">
        <f>$B15 * IFERROR(VLOOKUP("buildings|PM25|Work loss days", US_national_yearly!$D:$AM, 35, FALSE) / VLOOKUP("buildings|PM25|Work loss days", US_national_yearly!$D:$AM, 10, FALSE), 1)</f>
        <v>9.3696099234477561</v>
      </c>
      <c r="AB15" s="7">
        <f>$B15 * IFERROR(VLOOKUP("buildings|PM25|Work loss days", US_national_yearly!$D:$AM, 36, FALSE) / VLOOKUP("buildings|PM25|Work loss days", US_national_yearly!$D:$AM, 10, FALSE), 1)</f>
        <v>9.4295659282162472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1.319975460256706E-2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1.359424704503287E-2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1.398873948749868E-2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1.4383231929964487E-2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1.4777724372430297E-2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1.5155707847131801E-2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1.5533691321833305E-2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1.5857279953722346E-2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1.6180868585611387E-2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1.6504457217500428E-2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1.6828045849389472E-2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1.7151634481278513E-2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1.7367711048934732E-2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1.7583787616590955E-2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1.7799864184247175E-2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1.8015940751903398E-2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1.8232017319559618E-2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1.8346833156109028E-2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1.8461648992658439E-2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1.8576464829207849E-2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1.8691280665757256E-2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1.8806096502306673E-2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1.8883729975968044E-2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1.8961363449629415E-2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1.903899692329079E-2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1.9116630396952161E-2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1.9194263870613536E-2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2.6349448024824578E-3</v>
      </c>
      <c r="C2" s="7">
        <f>$B2 * IFERROR(VLOOKUP("buildings|NOx|Premature mortality", US_national_yearly!$D:$AM, 11, FALSE) / VLOOKUP("buildings|NOx|Premature mortality", US_national_yearly!$D:$AM, 10, FALSE), 1)</f>
        <v>2.6737013727755297E-3</v>
      </c>
      <c r="D2" s="7">
        <f>$B2 * IFERROR(VLOOKUP("buildings|NOx|Premature mortality", US_national_yearly!$D:$AM, 12, FALSE) / VLOOKUP("buildings|NOx|Premature mortality", US_national_yearly!$D:$AM, 10, FALSE), 1)</f>
        <v>2.7124579430686008E-3</v>
      </c>
      <c r="E2" s="7">
        <f>$B2 * IFERROR(VLOOKUP("buildings|NOx|Premature mortality", US_national_yearly!$D:$AM, 13, FALSE) / VLOOKUP("buildings|NOx|Premature mortality", US_national_yearly!$D:$AM, 10, FALSE), 1)</f>
        <v>2.7512145133616723E-3</v>
      </c>
      <c r="F2" s="7">
        <f>$B2 * IFERROR(VLOOKUP("buildings|NOx|Premature mortality", US_national_yearly!$D:$AM, 14, FALSE) / VLOOKUP("buildings|NOx|Premature mortality", US_national_yearly!$D:$AM, 10, FALSE), 1)</f>
        <v>2.7899710836547438E-3</v>
      </c>
      <c r="G2" s="7">
        <f>$B2 * IFERROR(VLOOKUP("buildings|NOx|Premature mortality", US_national_yearly!$D:$AM, 15, FALSE) / VLOOKUP("buildings|NOx|Premature mortality", US_national_yearly!$D:$AM, 10, FALSE), 1)</f>
        <v>2.8595531715614208E-3</v>
      </c>
      <c r="H2" s="7">
        <f>$B2 * IFERROR(VLOOKUP("buildings|NOx|Premature mortality", US_national_yearly!$D:$AM, 16, FALSE) / VLOOKUP("buildings|NOx|Premature mortality", US_national_yearly!$D:$AM, 10, FALSE), 1)</f>
        <v>2.9291352594680983E-3</v>
      </c>
      <c r="I2" s="7">
        <f>$B2 * IFERROR(VLOOKUP("buildings|NOx|Premature mortality", US_national_yearly!$D:$AM, 17, FALSE) / VLOOKUP("buildings|NOx|Premature mortality", US_national_yearly!$D:$AM, 10, FALSE), 1)</f>
        <v>2.9741029529116308E-3</v>
      </c>
      <c r="J2" s="7">
        <f>$B2 * IFERROR(VLOOKUP("buildings|NOx|Premature mortality", US_national_yearly!$D:$AM, 18, FALSE) / VLOOKUP("buildings|NOx|Premature mortality", US_national_yearly!$D:$AM, 10, FALSE), 1)</f>
        <v>3.0190706463551625E-3</v>
      </c>
      <c r="K2" s="7">
        <f>$B2 * IFERROR(VLOOKUP("buildings|NOx|Premature mortality", US_national_yearly!$D:$AM, 19, FALSE) / VLOOKUP("buildings|NOx|Premature mortality", US_national_yearly!$D:$AM, 10, FALSE), 1)</f>
        <v>3.0640383397986947E-3</v>
      </c>
      <c r="L2" s="7">
        <f>$B2 * IFERROR(VLOOKUP("buildings|NOx|Premature mortality", US_national_yearly!$D:$AM, 20, FALSE) / VLOOKUP("buildings|NOx|Premature mortality", US_national_yearly!$D:$AM, 10, FALSE), 1)</f>
        <v>3.1090060332422272E-3</v>
      </c>
      <c r="M2" s="7">
        <f>$B2 * IFERROR(VLOOKUP("buildings|NOx|Premature mortality", US_national_yearly!$D:$AM, 21, FALSE) / VLOOKUP("buildings|NOx|Premature mortality", US_national_yearly!$D:$AM, 10, FALSE), 1)</f>
        <v>3.1539737266857593E-3</v>
      </c>
      <c r="N2" s="7">
        <f>$B2 * IFERROR(VLOOKUP("buildings|NOx|Premature mortality", US_national_yearly!$D:$AM, 22, FALSE) / VLOOKUP("buildings|NOx|Premature mortality", US_national_yearly!$D:$AM, 10, FALSE), 1)</f>
        <v>3.1872930709715549E-3</v>
      </c>
      <c r="O2" s="7">
        <f>$B2 * IFERROR(VLOOKUP("buildings|NOx|Premature mortality", US_national_yearly!$D:$AM, 23, FALSE) / VLOOKUP("buildings|NOx|Premature mortality", US_national_yearly!$D:$AM, 10, FALSE), 1)</f>
        <v>3.2206124152573505E-3</v>
      </c>
      <c r="P2" s="7">
        <f>$B2 * IFERROR(VLOOKUP("buildings|NOx|Premature mortality", US_national_yearly!$D:$AM, 24, FALSE) / VLOOKUP("buildings|NOx|Premature mortality", US_national_yearly!$D:$AM, 10, FALSE), 1)</f>
        <v>3.2539317595431465E-3</v>
      </c>
      <c r="Q2" s="7">
        <f>$B2 * IFERROR(VLOOKUP("buildings|NOx|Premature mortality", US_national_yearly!$D:$AM, 25, FALSE) / VLOOKUP("buildings|NOx|Premature mortality", US_national_yearly!$D:$AM, 10, FALSE), 1)</f>
        <v>3.2872511038289417E-3</v>
      </c>
      <c r="R2" s="7">
        <f>$B2 * IFERROR(VLOOKUP("buildings|NOx|Premature mortality", US_national_yearly!$D:$AM, 26, FALSE) / VLOOKUP("buildings|NOx|Premature mortality", US_national_yearly!$D:$AM, 10, FALSE), 1)</f>
        <v>3.3205704481147377E-3</v>
      </c>
      <c r="S2" s="7">
        <f>$B2 * IFERROR(VLOOKUP("buildings|NOx|Premature mortality", US_national_yearly!$D:$AM, 27, FALSE) / VLOOKUP("buildings|NOx|Premature mortality", US_national_yearly!$D:$AM, 10, FALSE), 1)</f>
        <v>3.3357187356650355E-3</v>
      </c>
      <c r="T2" s="7">
        <f>$B2 * IFERROR(VLOOKUP("buildings|NOx|Premature mortality", US_national_yearly!$D:$AM, 28, FALSE) / VLOOKUP("buildings|NOx|Premature mortality", US_national_yearly!$D:$AM, 10, FALSE), 1)</f>
        <v>3.3508670232153333E-3</v>
      </c>
      <c r="U2" s="7">
        <f>$B2 * IFERROR(VLOOKUP("buildings|NOx|Premature mortality", US_national_yearly!$D:$AM, 29, FALSE) / VLOOKUP("buildings|NOx|Premature mortality", US_national_yearly!$D:$AM, 10, FALSE), 1)</f>
        <v>3.3660153107656315E-3</v>
      </c>
      <c r="V2" s="7">
        <f>$B2 * IFERROR(VLOOKUP("buildings|NOx|Premature mortality", US_national_yearly!$D:$AM, 30, FALSE) / VLOOKUP("buildings|NOx|Premature mortality", US_national_yearly!$D:$AM, 10, FALSE), 1)</f>
        <v>3.3811635983159293E-3</v>
      </c>
      <c r="W2" s="7">
        <f>$B2 * IFERROR(VLOOKUP("buildings|NOx|Premature mortality", US_national_yearly!$D:$AM, 31, FALSE) / VLOOKUP("buildings|NOx|Premature mortality", US_national_yearly!$D:$AM, 10, FALSE), 1)</f>
        <v>3.3963118858662271E-3</v>
      </c>
      <c r="X2" s="7">
        <f>$B2 * IFERROR(VLOOKUP("buildings|NOx|Premature mortality", US_national_yearly!$D:$AM, 32, FALSE) / VLOOKUP("buildings|NOx|Premature mortality", US_national_yearly!$D:$AM, 10, FALSE), 1)</f>
        <v>3.3968453962053401E-3</v>
      </c>
      <c r="Y2" s="7">
        <f>$B2 * IFERROR(VLOOKUP("buildings|NOx|Premature mortality", US_national_yearly!$D:$AM, 33, FALSE) / VLOOKUP("buildings|NOx|Premature mortality", US_national_yearly!$D:$AM, 10, FALSE), 1)</f>
        <v>3.3973789065444536E-3</v>
      </c>
      <c r="Z2" s="7">
        <f>$B2 * IFERROR(VLOOKUP("buildings|NOx|Premature mortality", US_national_yearly!$D:$AM, 34, FALSE) / VLOOKUP("buildings|NOx|Premature mortality", US_national_yearly!$D:$AM, 10, FALSE), 1)</f>
        <v>3.3979124168835666E-3</v>
      </c>
      <c r="AA2" s="7">
        <f>$B2 * IFERROR(VLOOKUP("buildings|NOx|Premature mortality", US_national_yearly!$D:$AM, 35, FALSE) / VLOOKUP("buildings|NOx|Premature mortality", US_national_yearly!$D:$AM, 10, FALSE), 1)</f>
        <v>3.3984459272226792E-3</v>
      </c>
      <c r="AB2" s="7">
        <f>$B2 * IFERROR(VLOOKUP("buildings|NOx|Premature mortality", US_national_yearly!$D:$AM, 36, FALSE) / VLOOKUP("buildings|NOx|Premature mortality", US_national_yearly!$D:$AM, 10, FALSE), 1)</f>
        <v>3.3989794375617931E-3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5.6947981884135798E-6</v>
      </c>
      <c r="C3" s="7">
        <f>$B3 * IFERROR(VLOOKUP("buildings|NOx|Infant mortality", US_national_yearly!$D:$AM, 11, FALSE) / VLOOKUP("buildings|NOx|Infant mortality", US_national_yearly!$D:$AM, 10, FALSE), 1)</f>
        <v>5.6407042892470217E-6</v>
      </c>
      <c r="D3" s="7">
        <f>$B3 * IFERROR(VLOOKUP("buildings|NOx|Infant mortality", US_national_yearly!$D:$AM, 12, FALSE) / VLOOKUP("buildings|NOx|Infant mortality", US_national_yearly!$D:$AM, 10, FALSE), 1)</f>
        <v>5.586610390080462E-6</v>
      </c>
      <c r="E3" s="7">
        <f>$B3 * IFERROR(VLOOKUP("buildings|NOx|Infant mortality", US_national_yearly!$D:$AM, 13, FALSE) / VLOOKUP("buildings|NOx|Infant mortality", US_national_yearly!$D:$AM, 10, FALSE), 1)</f>
        <v>5.5325164909139039E-6</v>
      </c>
      <c r="F3" s="7">
        <f>$B3 * IFERROR(VLOOKUP("buildings|NOx|Infant mortality", US_national_yearly!$D:$AM, 14, FALSE) / VLOOKUP("buildings|NOx|Infant mortality", US_national_yearly!$D:$AM, 10, FALSE), 1)</f>
        <v>5.4784225917473442E-6</v>
      </c>
      <c r="G3" s="7">
        <f>$B3 * IFERROR(VLOOKUP("buildings|NOx|Infant mortality", US_national_yearly!$D:$AM, 15, FALSE) / VLOOKUP("buildings|NOx|Infant mortality", US_national_yearly!$D:$AM, 10, FALSE), 1)</f>
        <v>3.636234225121575E-6</v>
      </c>
      <c r="H3" s="7">
        <f>$B3 * IFERROR(VLOOKUP("buildings|NOx|Infant mortality", US_national_yearly!$D:$AM, 16, FALSE) / VLOOKUP("buildings|NOx|Infant mortality", US_national_yearly!$D:$AM, 10, FALSE), 1)</f>
        <v>1.7940458584958055E-6</v>
      </c>
      <c r="I3" s="7">
        <f>$B3 * IFERROR(VLOOKUP("buildings|NOx|Infant mortality", US_national_yearly!$D:$AM, 17, FALSE) / VLOOKUP("buildings|NOx|Infant mortality", US_national_yearly!$D:$AM, 10, FALSE), 1)</f>
        <v>1.7813717167983244E-6</v>
      </c>
      <c r="J3" s="7">
        <f>$B3 * IFERROR(VLOOKUP("buildings|NOx|Infant mortality", US_national_yearly!$D:$AM, 18, FALSE) / VLOOKUP("buildings|NOx|Infant mortality", US_national_yearly!$D:$AM, 10, FALSE), 1)</f>
        <v>1.768697575100843E-6</v>
      </c>
      <c r="K3" s="7">
        <f>$B3 * IFERROR(VLOOKUP("buildings|NOx|Infant mortality", US_national_yearly!$D:$AM, 19, FALSE) / VLOOKUP("buildings|NOx|Infant mortality", US_national_yearly!$D:$AM, 10, FALSE), 1)</f>
        <v>1.7560234334033619E-6</v>
      </c>
      <c r="L3" s="7">
        <f>$B3 * IFERROR(VLOOKUP("buildings|NOx|Infant mortality", US_national_yearly!$D:$AM, 20, FALSE) / VLOOKUP("buildings|NOx|Infant mortality", US_national_yearly!$D:$AM, 10, FALSE), 1)</f>
        <v>1.7433492917058809E-6</v>
      </c>
      <c r="M3" s="7">
        <f>$B3 * IFERROR(VLOOKUP("buildings|NOx|Infant mortality", US_national_yearly!$D:$AM, 21, FALSE) / VLOOKUP("buildings|NOx|Infant mortality", US_national_yearly!$D:$AM, 10, FALSE), 1)</f>
        <v>1.7306751500083995E-6</v>
      </c>
      <c r="N3" s="7">
        <f>$B3 * IFERROR(VLOOKUP("buildings|NOx|Infant mortality", US_national_yearly!$D:$AM, 22, FALSE) / VLOOKUP("buildings|NOx|Infant mortality", US_national_yearly!$D:$AM, 10, FALSE), 1)</f>
        <v>1.7222767059297454E-6</v>
      </c>
      <c r="O3" s="7">
        <f>$B3 * IFERROR(VLOOKUP("buildings|NOx|Infant mortality", US_national_yearly!$D:$AM, 23, FALSE) / VLOOKUP("buildings|NOx|Infant mortality", US_national_yearly!$D:$AM, 10, FALSE), 1)</f>
        <v>1.7138782618510913E-6</v>
      </c>
      <c r="P3" s="7">
        <f>$B3 * IFERROR(VLOOKUP("buildings|NOx|Infant mortality", US_national_yearly!$D:$AM, 24, FALSE) / VLOOKUP("buildings|NOx|Infant mortality", US_national_yearly!$D:$AM, 10, FALSE), 1)</f>
        <v>1.7054798177724371E-6</v>
      </c>
      <c r="Q3" s="7">
        <f>$B3 * IFERROR(VLOOKUP("buildings|NOx|Infant mortality", US_national_yearly!$D:$AM, 25, FALSE) / VLOOKUP("buildings|NOx|Infant mortality", US_national_yearly!$D:$AM, 10, FALSE), 1)</f>
        <v>1.6970813736937832E-6</v>
      </c>
      <c r="R3" s="7">
        <f>$B3 * IFERROR(VLOOKUP("buildings|NOx|Infant mortality", US_national_yearly!$D:$AM, 26, FALSE) / VLOOKUP("buildings|NOx|Infant mortality", US_national_yearly!$D:$AM, 10, FALSE), 1)</f>
        <v>1.6886829296151291E-6</v>
      </c>
      <c r="S3" s="7">
        <f>$B3 * IFERROR(VLOOKUP("buildings|NOx|Infant mortality", US_national_yearly!$D:$AM, 27, FALSE) / VLOOKUP("buildings|NOx|Infant mortality", US_national_yearly!$D:$AM, 10, FALSE), 1)</f>
        <v>1.6785801377789014E-6</v>
      </c>
      <c r="T3" s="7">
        <f>$B3 * IFERROR(VLOOKUP("buildings|NOx|Infant mortality", US_national_yearly!$D:$AM, 28, FALSE) / VLOOKUP("buildings|NOx|Infant mortality", US_national_yearly!$D:$AM, 10, FALSE), 1)</f>
        <v>1.6684773459426738E-6</v>
      </c>
      <c r="U3" s="7">
        <f>$B3 * IFERROR(VLOOKUP("buildings|NOx|Infant mortality", US_national_yearly!$D:$AM, 29, FALSE) / VLOOKUP("buildings|NOx|Infant mortality", US_national_yearly!$D:$AM, 10, FALSE), 1)</f>
        <v>1.6583745541064461E-6</v>
      </c>
      <c r="V3" s="7">
        <f>$B3 * IFERROR(VLOOKUP("buildings|NOx|Infant mortality", US_national_yearly!$D:$AM, 30, FALSE) / VLOOKUP("buildings|NOx|Infant mortality", US_national_yearly!$D:$AM, 10, FALSE), 1)</f>
        <v>1.6482717622702181E-6</v>
      </c>
      <c r="W3" s="7">
        <f>$B3 * IFERROR(VLOOKUP("buildings|NOx|Infant mortality", US_national_yearly!$D:$AM, 31, FALSE) / VLOOKUP("buildings|NOx|Infant mortality", US_national_yearly!$D:$AM, 10, FALSE), 1)</f>
        <v>1.6381689704339906E-6</v>
      </c>
      <c r="X3" s="7">
        <f>$B3 * IFERROR(VLOOKUP("buildings|NOx|Infant mortality", US_national_yearly!$D:$AM, 32, FALSE) / VLOOKUP("buildings|NOx|Infant mortality", US_national_yearly!$D:$AM, 10, FALSE), 1)</f>
        <v>1.627479331220868E-6</v>
      </c>
      <c r="Y3" s="7">
        <f>$B3 * IFERROR(VLOOKUP("buildings|NOx|Infant mortality", US_national_yearly!$D:$AM, 33, FALSE) / VLOOKUP("buildings|NOx|Infant mortality", US_national_yearly!$D:$AM, 10, FALSE), 1)</f>
        <v>1.6167896920077457E-6</v>
      </c>
      <c r="Z3" s="7">
        <f>$B3 * IFERROR(VLOOKUP("buildings|NOx|Infant mortality", US_national_yearly!$D:$AM, 34, FALSE) / VLOOKUP("buildings|NOx|Infant mortality", US_national_yearly!$D:$AM, 10, FALSE), 1)</f>
        <v>1.6061000527946229E-6</v>
      </c>
      <c r="AA3" s="7">
        <f>$B3 * IFERROR(VLOOKUP("buildings|NOx|Infant mortality", US_national_yearly!$D:$AM, 35, FALSE) / VLOOKUP("buildings|NOx|Infant mortality", US_national_yearly!$D:$AM, 10, FALSE), 1)</f>
        <v>1.5954104135815004E-6</v>
      </c>
      <c r="AB3" s="7">
        <f>$B3 * IFERROR(VLOOKUP("buildings|NOx|Infant mortality", US_national_yearly!$D:$AM, 36, FALSE) / VLOOKUP("buildings|NOx|Infant mortality", US_national_yearly!$D:$AM, 10, FALSE), 1)</f>
        <v>1.5847207743683776E-6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7.9176374968817232E-3</v>
      </c>
      <c r="C6" s="7">
        <f>$B6 * IFERROR(VLOOKUP("buildings|NOx|Asthma symptoms cough", US_national_yearly!$D:$AM, 11, FALSE) / VLOOKUP("buildings|NOx|Asthma symptoms cough", US_national_yearly!$D:$AM, 10, FALSE), 1)</f>
        <v>8.025992522644609E-3</v>
      </c>
      <c r="D6" s="7">
        <f>$B6 * IFERROR(VLOOKUP("buildings|NOx|Asthma symptoms cough", US_national_yearly!$D:$AM, 12, FALSE) / VLOOKUP("buildings|NOx|Asthma symptoms cough", US_national_yearly!$D:$AM, 10, FALSE), 1)</f>
        <v>8.1343475484074983E-3</v>
      </c>
      <c r="E6" s="7">
        <f>$B6 * IFERROR(VLOOKUP("buildings|NOx|Asthma symptoms cough", US_national_yearly!$D:$AM, 13, FALSE) / VLOOKUP("buildings|NOx|Asthma symptoms cough", US_national_yearly!$D:$AM, 10, FALSE), 1)</f>
        <v>8.2427025741703842E-3</v>
      </c>
      <c r="F6" s="7">
        <f>$B6 * IFERROR(VLOOKUP("buildings|NOx|Asthma symptoms cough", US_national_yearly!$D:$AM, 14, FALSE) / VLOOKUP("buildings|NOx|Asthma symptoms cough", US_national_yearly!$D:$AM, 10, FALSE), 1)</f>
        <v>8.3510575999332717E-3</v>
      </c>
      <c r="G6" s="7">
        <f>$B6 * IFERROR(VLOOKUP("buildings|NOx|Asthma symptoms cough", US_national_yearly!$D:$AM, 15, FALSE) / VLOOKUP("buildings|NOx|Asthma symptoms cough", US_national_yearly!$D:$AM, 10, FALSE), 1)</f>
        <v>8.4376535690407969E-3</v>
      </c>
      <c r="H6" s="7">
        <f>$B6 * IFERROR(VLOOKUP("buildings|NOx|Asthma symptoms cough", US_national_yearly!$D:$AM, 16, FALSE) / VLOOKUP("buildings|NOx|Asthma symptoms cough", US_national_yearly!$D:$AM, 10, FALSE), 1)</f>
        <v>8.5242495381483239E-3</v>
      </c>
      <c r="I6" s="7">
        <f>$B6 * IFERROR(VLOOKUP("buildings|NOx|Asthma symptoms cough", US_national_yearly!$D:$AM, 17, FALSE) / VLOOKUP("buildings|NOx|Asthma symptoms cough", US_national_yearly!$D:$AM, 10, FALSE), 1)</f>
        <v>8.5542178454569226E-3</v>
      </c>
      <c r="J6" s="7">
        <f>$B6 * IFERROR(VLOOKUP("buildings|NOx|Asthma symptoms cough", US_national_yearly!$D:$AM, 18, FALSE) / VLOOKUP("buildings|NOx|Asthma symptoms cough", US_national_yearly!$D:$AM, 10, FALSE), 1)</f>
        <v>8.584186152765523E-3</v>
      </c>
      <c r="K6" s="7">
        <f>$B6 * IFERROR(VLOOKUP("buildings|NOx|Asthma symptoms cough", US_national_yearly!$D:$AM, 19, FALSE) / VLOOKUP("buildings|NOx|Asthma symptoms cough", US_national_yearly!$D:$AM, 10, FALSE), 1)</f>
        <v>8.6141544600741218E-3</v>
      </c>
      <c r="L6" s="7">
        <f>$B6 * IFERROR(VLOOKUP("buildings|NOx|Asthma symptoms cough", US_national_yearly!$D:$AM, 20, FALSE) / VLOOKUP("buildings|NOx|Asthma symptoms cough", US_national_yearly!$D:$AM, 10, FALSE), 1)</f>
        <v>8.6441227673827205E-3</v>
      </c>
      <c r="M6" s="7">
        <f>$B6 * IFERROR(VLOOKUP("buildings|NOx|Asthma symptoms cough", US_national_yearly!$D:$AM, 21, FALSE) / VLOOKUP("buildings|NOx|Asthma symptoms cough", US_national_yearly!$D:$AM, 10, FALSE), 1)</f>
        <v>8.6740910746913192E-3</v>
      </c>
      <c r="N6" s="7">
        <f>$B6 * IFERROR(VLOOKUP("buildings|NOx|Asthma symptoms cough", US_national_yearly!$D:$AM, 22, FALSE) / VLOOKUP("buildings|NOx|Asthma symptoms cough", US_national_yearly!$D:$AM, 10, FALSE), 1)</f>
        <v>8.7087437972994813E-3</v>
      </c>
      <c r="O6" s="7">
        <f>$B6 * IFERROR(VLOOKUP("buildings|NOx|Asthma symptoms cough", US_national_yearly!$D:$AM, 23, FALSE) / VLOOKUP("buildings|NOx|Asthma symptoms cough", US_national_yearly!$D:$AM, 10, FALSE), 1)</f>
        <v>8.7433965199076417E-3</v>
      </c>
      <c r="P6" s="7">
        <f>$B6 * IFERROR(VLOOKUP("buildings|NOx|Asthma symptoms cough", US_national_yearly!$D:$AM, 24, FALSE) / VLOOKUP("buildings|NOx|Asthma symptoms cough", US_national_yearly!$D:$AM, 10, FALSE), 1)</f>
        <v>8.7780492425158022E-3</v>
      </c>
      <c r="Q6" s="7">
        <f>$B6 * IFERROR(VLOOKUP("buildings|NOx|Asthma symptoms cough", US_national_yearly!$D:$AM, 25, FALSE) / VLOOKUP("buildings|NOx|Asthma symptoms cough", US_national_yearly!$D:$AM, 10, FALSE), 1)</f>
        <v>8.812701965123966E-3</v>
      </c>
      <c r="R6" s="7">
        <f>$B6 * IFERROR(VLOOKUP("buildings|NOx|Asthma symptoms cough", US_national_yearly!$D:$AM, 26, FALSE) / VLOOKUP("buildings|NOx|Asthma symptoms cough", US_national_yearly!$D:$AM, 10, FALSE), 1)</f>
        <v>8.8473546877321264E-3</v>
      </c>
      <c r="S6" s="7">
        <f>$B6 * IFERROR(VLOOKUP("buildings|NOx|Asthma symptoms cough", US_national_yearly!$D:$AM, 27, FALSE) / VLOOKUP("buildings|NOx|Asthma symptoms cough", US_national_yearly!$D:$AM, 10, FALSE), 1)</f>
        <v>8.8926118778444169E-3</v>
      </c>
      <c r="T6" s="7">
        <f>$B6 * IFERROR(VLOOKUP("buildings|NOx|Asthma symptoms cough", US_national_yearly!$D:$AM, 28, FALSE) / VLOOKUP("buildings|NOx|Asthma symptoms cough", US_national_yearly!$D:$AM, 10, FALSE), 1)</f>
        <v>8.9378690679567038E-3</v>
      </c>
      <c r="U6" s="7">
        <f>$B6 * IFERROR(VLOOKUP("buildings|NOx|Asthma symptoms cough", US_national_yearly!$D:$AM, 29, FALSE) / VLOOKUP("buildings|NOx|Asthma symptoms cough", US_national_yearly!$D:$AM, 10, FALSE), 1)</f>
        <v>8.9831262580689925E-3</v>
      </c>
      <c r="V6" s="7">
        <f>$B6 * IFERROR(VLOOKUP("buildings|NOx|Asthma symptoms cough", US_national_yearly!$D:$AM, 30, FALSE) / VLOOKUP("buildings|NOx|Asthma symptoms cough", US_national_yearly!$D:$AM, 10, FALSE), 1)</f>
        <v>9.0283834481812847E-3</v>
      </c>
      <c r="W6" s="7">
        <f>$B6 * IFERROR(VLOOKUP("buildings|NOx|Asthma symptoms cough", US_national_yearly!$D:$AM, 31, FALSE) / VLOOKUP("buildings|NOx|Asthma symptoms cough", US_national_yearly!$D:$AM, 10, FALSE), 1)</f>
        <v>9.0736406382935734E-3</v>
      </c>
      <c r="X6" s="7">
        <f>$B6 * IFERROR(VLOOKUP("buildings|NOx|Asthma symptoms cough", US_national_yearly!$D:$AM, 32, FALSE) / VLOOKUP("buildings|NOx|Asthma symptoms cough", US_national_yearly!$D:$AM, 10, FALSE), 1)</f>
        <v>9.1156907954178246E-3</v>
      </c>
      <c r="Y6" s="7">
        <f>$B6 * IFERROR(VLOOKUP("buildings|NOx|Asthma symptoms cough", US_national_yearly!$D:$AM, 33, FALSE) / VLOOKUP("buildings|NOx|Asthma symptoms cough", US_national_yearly!$D:$AM, 10, FALSE), 1)</f>
        <v>9.1577409525420775E-3</v>
      </c>
      <c r="Z6" s="7">
        <f>$B6 * IFERROR(VLOOKUP("buildings|NOx|Asthma symptoms cough", US_national_yearly!$D:$AM, 34, FALSE) / VLOOKUP("buildings|NOx|Asthma symptoms cough", US_national_yearly!$D:$AM, 10, FALSE), 1)</f>
        <v>9.1997911096663321E-3</v>
      </c>
      <c r="AA6" s="7">
        <f>$B6 * IFERROR(VLOOKUP("buildings|NOx|Asthma symptoms cough", US_national_yearly!$D:$AM, 35, FALSE) / VLOOKUP("buildings|NOx|Asthma symptoms cough", US_national_yearly!$D:$AM, 10, FALSE), 1)</f>
        <v>9.2418412667905851E-3</v>
      </c>
      <c r="AB6" s="7">
        <f>$B6 * IFERROR(VLOOKUP("buildings|NOx|Asthma symptoms cough", US_national_yearly!$D:$AM, 36, FALSE) / VLOOKUP("buildings|NOx|Asthma symptoms cough", US_national_yearly!$D:$AM, 10, FALSE), 1)</f>
        <v>9.2838914239148397E-3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1.0662005395116058E-2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1.0807917842792534E-2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1.0953830290469011E-2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1.1099742738145487E-2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1.1245655185821962E-2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1.1362266572304784E-2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1.1478877958787609E-2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1.15192337151508E-2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1.155958947151399E-2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1.1599945227877185E-2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1.1640300984240378E-2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1.1680656740603569E-2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1.1727320598572571E-2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1.1773984456541571E-2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1.1820648314510573E-2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1.1867312172479574E-2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1.1913976030448576E-2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1.1974920018200068E-2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1.2035864005951559E-2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1.2096807993703051E-2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1.2157751981454541E-2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1.2218695969206031E-2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1.227532131984699E-2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1.2331946670487945E-2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1.2388572021128903E-2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1.2445197371769854E-2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1.2501822722410813E-2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1.6290601591600156E-2</v>
      </c>
      <c r="C8" s="7">
        <f>$B8 * IFERROR(VLOOKUP("buildings|NOx|Asthma symptoms wheeze", US_national_yearly!$D:$AM, 11, FALSE) / VLOOKUP("buildings|NOx|Asthma symptoms wheeze", US_national_yearly!$D:$AM, 10, FALSE), 1)</f>
        <v>1.6513542911727946E-2</v>
      </c>
      <c r="D8" s="7">
        <f>$B8 * IFERROR(VLOOKUP("buildings|NOx|Asthma symptoms wheeze", US_national_yearly!$D:$AM, 12, FALSE) / VLOOKUP("buildings|NOx|Asthma symptoms wheeze", US_national_yearly!$D:$AM, 10, FALSE), 1)</f>
        <v>1.6736484231855739E-2</v>
      </c>
      <c r="E8" s="7">
        <f>$B8 * IFERROR(VLOOKUP("buildings|NOx|Asthma symptoms wheeze", US_national_yearly!$D:$AM, 13, FALSE) / VLOOKUP("buildings|NOx|Asthma symptoms wheeze", US_national_yearly!$D:$AM, 10, FALSE), 1)</f>
        <v>1.6959425551983525E-2</v>
      </c>
      <c r="F8" s="7">
        <f>$B8 * IFERROR(VLOOKUP("buildings|NOx|Asthma symptoms wheeze", US_national_yearly!$D:$AM, 14, FALSE) / VLOOKUP("buildings|NOx|Asthma symptoms wheeze", US_national_yearly!$D:$AM, 10, FALSE), 1)</f>
        <v>1.7182366872111322E-2</v>
      </c>
      <c r="G8" s="7">
        <f>$B8 * IFERROR(VLOOKUP("buildings|NOx|Asthma symptoms wheeze", US_national_yearly!$D:$AM, 15, FALSE) / VLOOKUP("buildings|NOx|Asthma symptoms wheeze", US_national_yearly!$D:$AM, 10, FALSE), 1)</f>
        <v>1.7360538761555602E-2</v>
      </c>
      <c r="H8" s="7">
        <f>$B8 * IFERROR(VLOOKUP("buildings|NOx|Asthma symptoms wheeze", US_national_yearly!$D:$AM, 16, FALSE) / VLOOKUP("buildings|NOx|Asthma symptoms wheeze", US_national_yearly!$D:$AM, 10, FALSE), 1)</f>
        <v>1.7538710650999881E-2</v>
      </c>
      <c r="I8" s="7">
        <f>$B8 * IFERROR(VLOOKUP("buildings|NOx|Asthma symptoms wheeze", US_national_yearly!$D:$AM, 17, FALSE) / VLOOKUP("buildings|NOx|Asthma symptoms wheeze", US_national_yearly!$D:$AM, 10, FALSE), 1)</f>
        <v>1.7600370679664877E-2</v>
      </c>
      <c r="J8" s="7">
        <f>$B8 * IFERROR(VLOOKUP("buildings|NOx|Asthma symptoms wheeze", US_national_yearly!$D:$AM, 18, FALSE) / VLOOKUP("buildings|NOx|Asthma symptoms wheeze", US_national_yearly!$D:$AM, 10, FALSE), 1)</f>
        <v>1.7662030708329873E-2</v>
      </c>
      <c r="K8" s="7">
        <f>$B8 * IFERROR(VLOOKUP("buildings|NOx|Asthma symptoms wheeze", US_national_yearly!$D:$AM, 19, FALSE) / VLOOKUP("buildings|NOx|Asthma symptoms wheeze", US_national_yearly!$D:$AM, 10, FALSE), 1)</f>
        <v>1.7723690736994865E-2</v>
      </c>
      <c r="L8" s="7">
        <f>$B8 * IFERROR(VLOOKUP("buildings|NOx|Asthma symptoms wheeze", US_national_yearly!$D:$AM, 20, FALSE) / VLOOKUP("buildings|NOx|Asthma symptoms wheeze", US_national_yearly!$D:$AM, 10, FALSE), 1)</f>
        <v>1.778535076565986E-2</v>
      </c>
      <c r="M8" s="7">
        <f>$B8 * IFERROR(VLOOKUP("buildings|NOx|Asthma symptoms wheeze", US_national_yearly!$D:$AM, 21, FALSE) / VLOOKUP("buildings|NOx|Asthma symptoms wheeze", US_national_yearly!$D:$AM, 10, FALSE), 1)</f>
        <v>1.7847010794324859E-2</v>
      </c>
      <c r="N8" s="7">
        <f>$B8 * IFERROR(VLOOKUP("buildings|NOx|Asthma symptoms wheeze", US_national_yearly!$D:$AM, 22, FALSE) / VLOOKUP("buildings|NOx|Asthma symptoms wheeze", US_national_yearly!$D:$AM, 10, FALSE), 1)</f>
        <v>1.7918309044420062E-2</v>
      </c>
      <c r="O8" s="7">
        <f>$B8 * IFERROR(VLOOKUP("buildings|NOx|Asthma symptoms wheeze", US_national_yearly!$D:$AM, 23, FALSE) / VLOOKUP("buildings|NOx|Asthma symptoms wheeze", US_national_yearly!$D:$AM, 10, FALSE), 1)</f>
        <v>1.7989607294515268E-2</v>
      </c>
      <c r="P8" s="7">
        <f>$B8 * IFERROR(VLOOKUP("buildings|NOx|Asthma symptoms wheeze", US_national_yearly!$D:$AM, 24, FALSE) / VLOOKUP("buildings|NOx|Asthma symptoms wheeze", US_national_yearly!$D:$AM, 10, FALSE), 1)</f>
        <v>1.806090554461047E-2</v>
      </c>
      <c r="Q8" s="7">
        <f>$B8 * IFERROR(VLOOKUP("buildings|NOx|Asthma symptoms wheeze", US_national_yearly!$D:$AM, 25, FALSE) / VLOOKUP("buildings|NOx|Asthma symptoms wheeze", US_national_yearly!$D:$AM, 10, FALSE), 1)</f>
        <v>1.8132203794705679E-2</v>
      </c>
      <c r="R8" s="7">
        <f>$B8 * IFERROR(VLOOKUP("buildings|NOx|Asthma symptoms wheeze", US_national_yearly!$D:$AM, 26, FALSE) / VLOOKUP("buildings|NOx|Asthma symptoms wheeze", US_national_yearly!$D:$AM, 10, FALSE), 1)</f>
        <v>1.8203502044800882E-2</v>
      </c>
      <c r="S8" s="7">
        <f>$B8 * IFERROR(VLOOKUP("buildings|NOx|Asthma symptoms wheeze", US_national_yearly!$D:$AM, 27, FALSE) / VLOOKUP("buildings|NOx|Asthma symptoms wheeze", US_national_yearly!$D:$AM, 10, FALSE), 1)</f>
        <v>1.8296619070452255E-2</v>
      </c>
      <c r="T8" s="7">
        <f>$B8 * IFERROR(VLOOKUP("buildings|NOx|Asthma symptoms wheeze", US_national_yearly!$D:$AM, 28, FALSE) / VLOOKUP("buildings|NOx|Asthma symptoms wheeze", US_national_yearly!$D:$AM, 10, FALSE), 1)</f>
        <v>1.8389736096103629E-2</v>
      </c>
      <c r="U8" s="7">
        <f>$B8 * IFERROR(VLOOKUP("buildings|NOx|Asthma symptoms wheeze", US_national_yearly!$D:$AM, 29, FALSE) / VLOOKUP("buildings|NOx|Asthma symptoms wheeze", US_national_yearly!$D:$AM, 10, FALSE), 1)</f>
        <v>1.8482853121755006E-2</v>
      </c>
      <c r="V8" s="7">
        <f>$B8 * IFERROR(VLOOKUP("buildings|NOx|Asthma symptoms wheeze", US_national_yearly!$D:$AM, 30, FALSE) / VLOOKUP("buildings|NOx|Asthma symptoms wheeze", US_national_yearly!$D:$AM, 10, FALSE), 1)</f>
        <v>1.8575970147406379E-2</v>
      </c>
      <c r="W8" s="7">
        <f>$B8 * IFERROR(VLOOKUP("buildings|NOx|Asthma symptoms wheeze", US_national_yearly!$D:$AM, 31, FALSE) / VLOOKUP("buildings|NOx|Asthma symptoms wheeze", US_national_yearly!$D:$AM, 10, FALSE), 1)</f>
        <v>1.8669087173057757E-2</v>
      </c>
      <c r="X8" s="7">
        <f>$B8 * IFERROR(VLOOKUP("buildings|NOx|Asthma symptoms wheeze", US_national_yearly!$D:$AM, 32, FALSE) / VLOOKUP("buildings|NOx|Asthma symptoms wheeze", US_national_yearly!$D:$AM, 10, FALSE), 1)</f>
        <v>1.875560570304315E-2</v>
      </c>
      <c r="Y8" s="7">
        <f>$B8 * IFERROR(VLOOKUP("buildings|NOx|Asthma symptoms wheeze", US_national_yearly!$D:$AM, 33, FALSE) / VLOOKUP("buildings|NOx|Asthma symptoms wheeze", US_national_yearly!$D:$AM, 10, FALSE), 1)</f>
        <v>1.8842124233028543E-2</v>
      </c>
      <c r="Z8" s="7">
        <f>$B8 * IFERROR(VLOOKUP("buildings|NOx|Asthma symptoms wheeze", US_national_yearly!$D:$AM, 34, FALSE) / VLOOKUP("buildings|NOx|Asthma symptoms wheeze", US_national_yearly!$D:$AM, 10, FALSE), 1)</f>
        <v>1.8928642763013939E-2</v>
      </c>
      <c r="AA8" s="7">
        <f>$B8 * IFERROR(VLOOKUP("buildings|NOx|Asthma symptoms wheeze", US_national_yearly!$D:$AM, 35, FALSE) / VLOOKUP("buildings|NOx|Asthma symptoms wheeze", US_national_yearly!$D:$AM, 10, FALSE), 1)</f>
        <v>1.9015161292999336E-2</v>
      </c>
      <c r="AB8" s="7">
        <f>$B8 * IFERROR(VLOOKUP("buildings|NOx|Asthma symptoms wheeze", US_national_yearly!$D:$AM, 36, FALSE) / VLOOKUP("buildings|NOx|Asthma symptoms wheeze", US_national_yearly!$D:$AM, 10, FALSE), 1)</f>
        <v>1.9101679822984732E-2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2.0792266663034522E-4</v>
      </c>
      <c r="C12" s="7">
        <f>$B12 * IFERROR(VLOOKUP("buildings|NOx|Respiratory hospital admissions", US_national_yearly!$D:$AM, 11, FALSE) / VLOOKUP("buildings|NOx|Respiratory hospital admissions", US_national_yearly!$D:$AM, 10, FALSE), 1)</f>
        <v>2.1311747940816461E-4</v>
      </c>
      <c r="D12" s="7">
        <f>$B12 * IFERROR(VLOOKUP("buildings|NOx|Respiratory hospital admissions", US_national_yearly!$D:$AM, 12, FALSE) / VLOOKUP("buildings|NOx|Respiratory hospital admissions", US_national_yearly!$D:$AM, 10, FALSE), 1)</f>
        <v>2.1831229218598398E-4</v>
      </c>
      <c r="E12" s="7">
        <f>$B12 * IFERROR(VLOOKUP("buildings|NOx|Respiratory hospital admissions", US_national_yearly!$D:$AM, 13, FALSE) / VLOOKUP("buildings|NOx|Respiratory hospital admissions", US_national_yearly!$D:$AM, 10, FALSE), 1)</f>
        <v>2.2350710496380337E-4</v>
      </c>
      <c r="F12" s="7">
        <f>$B12 * IFERROR(VLOOKUP("buildings|NOx|Respiratory hospital admissions", US_national_yearly!$D:$AM, 14, FALSE) / VLOOKUP("buildings|NOx|Respiratory hospital admissions", US_national_yearly!$D:$AM, 10, FALSE), 1)</f>
        <v>2.2870191774162276E-4</v>
      </c>
      <c r="G12" s="7">
        <f>$B12 * IFERROR(VLOOKUP("buildings|NOx|Respiratory hospital admissions", US_national_yearly!$D:$AM, 15, FALSE) / VLOOKUP("buildings|NOx|Respiratory hospital admissions", US_national_yearly!$D:$AM, 10, FALSE), 1)</f>
        <v>2.3366831683424328E-4</v>
      </c>
      <c r="H12" s="7">
        <f>$B12 * IFERROR(VLOOKUP("buildings|NOx|Respiratory hospital admissions", US_national_yearly!$D:$AM, 16, FALSE) / VLOOKUP("buildings|NOx|Respiratory hospital admissions", US_national_yearly!$D:$AM, 10, FALSE), 1)</f>
        <v>2.3863471592686374E-4</v>
      </c>
      <c r="I12" s="7">
        <f>$B12 * IFERROR(VLOOKUP("buildings|NOx|Respiratory hospital admissions", US_national_yearly!$D:$AM, 17, FALSE) / VLOOKUP("buildings|NOx|Respiratory hospital admissions", US_national_yearly!$D:$AM, 10, FALSE), 1)</f>
        <v>2.4285355494636394E-4</v>
      </c>
      <c r="J12" s="7">
        <f>$B12 * IFERROR(VLOOKUP("buildings|NOx|Respiratory hospital admissions", US_national_yearly!$D:$AM, 18, FALSE) / VLOOKUP("buildings|NOx|Respiratory hospital admissions", US_national_yearly!$D:$AM, 10, FALSE), 1)</f>
        <v>2.4707239396586415E-4</v>
      </c>
      <c r="K12" s="7">
        <f>$B12 * IFERROR(VLOOKUP("buildings|NOx|Respiratory hospital admissions", US_national_yearly!$D:$AM, 19, FALSE) / VLOOKUP("buildings|NOx|Respiratory hospital admissions", US_national_yearly!$D:$AM, 10, FALSE), 1)</f>
        <v>2.5129123298536435E-4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2.5551007200486455E-4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2.5972891102436476E-4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2.6254918169597418E-4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2.653694523675836E-4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2.6818972303919303E-4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2.7100999371080251E-4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2.7383026438241188E-4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2.7534240810840355E-4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2.7685455183439523E-4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2.783666955603869E-4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2.7987883928637857E-4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2.8139098301237019E-4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2.8242611674267652E-4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2.8346125047298278E-4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2.8449638420328916E-4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2.8553151793359543E-4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2.8656665166390169E-4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1.2815661915301143E-3</v>
      </c>
      <c r="C13" s="7">
        <f>$B13 * IFERROR(VLOOKUP("buildings|NOx|Non-fatal heart attacks", US_national_yearly!$D:$AM, 11, FALSE) / VLOOKUP("buildings|NOx|Non-fatal heart attacks", US_national_yearly!$D:$AM, 10, FALSE), 1)</f>
        <v>1.3182291873318564E-3</v>
      </c>
      <c r="D13" s="7">
        <f>$B13 * IFERROR(VLOOKUP("buildings|NOx|Non-fatal heart attacks", US_national_yearly!$D:$AM, 12, FALSE) / VLOOKUP("buildings|NOx|Non-fatal heart attacks", US_national_yearly!$D:$AM, 10, FALSE), 1)</f>
        <v>1.3548921831335989E-3</v>
      </c>
      <c r="E13" s="7">
        <f>$B13 * IFERROR(VLOOKUP("buildings|NOx|Non-fatal heart attacks", US_national_yearly!$D:$AM, 13, FALSE) / VLOOKUP("buildings|NOx|Non-fatal heart attacks", US_national_yearly!$D:$AM, 10, FALSE), 1)</f>
        <v>1.3915551789353408E-3</v>
      </c>
      <c r="F13" s="7">
        <f>$B13 * IFERROR(VLOOKUP("buildings|NOx|Non-fatal heart attacks", US_national_yearly!$D:$AM, 14, FALSE) / VLOOKUP("buildings|NOx|Non-fatal heart attacks", US_national_yearly!$D:$AM, 10, FALSE), 1)</f>
        <v>1.4282181747370829E-3</v>
      </c>
      <c r="G13" s="7">
        <f>$B13 * IFERROR(VLOOKUP("buildings|NOx|Non-fatal heart attacks", US_national_yearly!$D:$AM, 15, FALSE) / VLOOKUP("buildings|NOx|Non-fatal heart attacks", US_national_yearly!$D:$AM, 10, FALSE), 1)</f>
        <v>1.4624869535992029E-3</v>
      </c>
      <c r="H13" s="7">
        <f>$B13 * IFERROR(VLOOKUP("buildings|NOx|Non-fatal heart attacks", US_national_yearly!$D:$AM, 16, FALSE) / VLOOKUP("buildings|NOx|Non-fatal heart attacks", US_national_yearly!$D:$AM, 10, FALSE), 1)</f>
        <v>1.4967557324613234E-3</v>
      </c>
      <c r="I13" s="7">
        <f>$B13 * IFERROR(VLOOKUP("buildings|NOx|Non-fatal heart attacks", US_national_yearly!$D:$AM, 17, FALSE) / VLOOKUP("buildings|NOx|Non-fatal heart attacks", US_national_yearly!$D:$AM, 10, FALSE), 1)</f>
        <v>1.5237913355878082E-3</v>
      </c>
      <c r="J13" s="7">
        <f>$B13 * IFERROR(VLOOKUP("buildings|NOx|Non-fatal heart attacks", US_national_yearly!$D:$AM, 18, FALSE) / VLOOKUP("buildings|NOx|Non-fatal heart attacks", US_national_yearly!$D:$AM, 10, FALSE), 1)</f>
        <v>1.5508269387142931E-3</v>
      </c>
      <c r="K13" s="7">
        <f>$B13 * IFERROR(VLOOKUP("buildings|NOx|Non-fatal heart attacks", US_national_yearly!$D:$AM, 19, FALSE) / VLOOKUP("buildings|NOx|Non-fatal heart attacks", US_national_yearly!$D:$AM, 10, FALSE), 1)</f>
        <v>1.5778625418407786E-3</v>
      </c>
      <c r="L13" s="7">
        <f>$B13 * IFERROR(VLOOKUP("buildings|NOx|Non-fatal heart attacks", US_national_yearly!$D:$AM, 20, FALSE) / VLOOKUP("buildings|NOx|Non-fatal heart attacks", US_national_yearly!$D:$AM, 10, FALSE), 1)</f>
        <v>1.6048981449672626E-3</v>
      </c>
      <c r="M13" s="7">
        <f>$B13 * IFERROR(VLOOKUP("buildings|NOx|Non-fatal heart attacks", US_national_yearly!$D:$AM, 21, FALSE) / VLOOKUP("buildings|NOx|Non-fatal heart attacks", US_national_yearly!$D:$AM, 10, FALSE), 1)</f>
        <v>1.6319337480937481E-3</v>
      </c>
      <c r="N13" s="7">
        <f>$B13 * IFERROR(VLOOKUP("buildings|NOx|Non-fatal heart attacks", US_national_yearly!$D:$AM, 22, FALSE) / VLOOKUP("buildings|NOx|Non-fatal heart attacks", US_national_yearly!$D:$AM, 10, FALSE), 1)</f>
        <v>1.6482045936133285E-3</v>
      </c>
      <c r="O13" s="7">
        <f>$B13 * IFERROR(VLOOKUP("buildings|NOx|Non-fatal heart attacks", US_national_yearly!$D:$AM, 23, FALSE) / VLOOKUP("buildings|NOx|Non-fatal heart attacks", US_national_yearly!$D:$AM, 10, FALSE), 1)</f>
        <v>1.664475439132909E-3</v>
      </c>
      <c r="P13" s="7">
        <f>$B13 * IFERROR(VLOOKUP("buildings|NOx|Non-fatal heart attacks", US_national_yearly!$D:$AM, 24, FALSE) / VLOOKUP("buildings|NOx|Non-fatal heart attacks", US_national_yearly!$D:$AM, 10, FALSE), 1)</f>
        <v>1.6807462846524894E-3</v>
      </c>
      <c r="Q13" s="7">
        <f>$B13 * IFERROR(VLOOKUP("buildings|NOx|Non-fatal heart attacks", US_national_yearly!$D:$AM, 25, FALSE) / VLOOKUP("buildings|NOx|Non-fatal heart attacks", US_national_yearly!$D:$AM, 10, FALSE), 1)</f>
        <v>1.6970171301720701E-3</v>
      </c>
      <c r="R13" s="7">
        <f>$B13 * IFERROR(VLOOKUP("buildings|NOx|Non-fatal heart attacks", US_national_yearly!$D:$AM, 26, FALSE) / VLOOKUP("buildings|NOx|Non-fatal heart attacks", US_national_yearly!$D:$AM, 10, FALSE), 1)</f>
        <v>1.7132879756916503E-3</v>
      </c>
      <c r="S13" s="7">
        <f>$B13 * IFERROR(VLOOKUP("buildings|NOx|Non-fatal heart attacks", US_national_yearly!$D:$AM, 27, FALSE) / VLOOKUP("buildings|NOx|Non-fatal heart attacks", US_national_yearly!$D:$AM, 10, FALSE), 1)</f>
        <v>1.7206820862035285E-3</v>
      </c>
      <c r="T13" s="7">
        <f>$B13 * IFERROR(VLOOKUP("buildings|NOx|Non-fatal heart attacks", US_national_yearly!$D:$AM, 28, FALSE) / VLOOKUP("buildings|NOx|Non-fatal heart attacks", US_national_yearly!$D:$AM, 10, FALSE), 1)</f>
        <v>1.7280761967154075E-3</v>
      </c>
      <c r="U13" s="7">
        <f>$B13 * IFERROR(VLOOKUP("buildings|NOx|Non-fatal heart attacks", US_national_yearly!$D:$AM, 29, FALSE) / VLOOKUP("buildings|NOx|Non-fatal heart attacks", US_national_yearly!$D:$AM, 10, FALSE), 1)</f>
        <v>1.7354703072272857E-3</v>
      </c>
      <c r="V13" s="7">
        <f>$B13 * IFERROR(VLOOKUP("buildings|NOx|Non-fatal heart attacks", US_national_yearly!$D:$AM, 30, FALSE) / VLOOKUP("buildings|NOx|Non-fatal heart attacks", US_national_yearly!$D:$AM, 10, FALSE), 1)</f>
        <v>1.7428644177391642E-3</v>
      </c>
      <c r="W13" s="7">
        <f>$B13 * IFERROR(VLOOKUP("buildings|NOx|Non-fatal heart attacks", US_national_yearly!$D:$AM, 31, FALSE) / VLOOKUP("buildings|NOx|Non-fatal heart attacks", US_national_yearly!$D:$AM, 10, FALSE), 1)</f>
        <v>1.7502585282510427E-3</v>
      </c>
      <c r="X13" s="7">
        <f>$B13 * IFERROR(VLOOKUP("buildings|NOx|Non-fatal heart attacks", US_national_yearly!$D:$AM, 32, FALSE) / VLOOKUP("buildings|NOx|Non-fatal heart attacks", US_national_yearly!$D:$AM, 10, FALSE), 1)</f>
        <v>1.7552045860699888E-3</v>
      </c>
      <c r="Y13" s="7">
        <f>$B13 * IFERROR(VLOOKUP("buildings|NOx|Non-fatal heart attacks", US_national_yearly!$D:$AM, 33, FALSE) / VLOOKUP("buildings|NOx|Non-fatal heart attacks", US_national_yearly!$D:$AM, 10, FALSE), 1)</f>
        <v>1.7601506438889348E-3</v>
      </c>
      <c r="Z13" s="7">
        <f>$B13 * IFERROR(VLOOKUP("buildings|NOx|Non-fatal heart attacks", US_national_yearly!$D:$AM, 34, FALSE) / VLOOKUP("buildings|NOx|Non-fatal heart attacks", US_national_yearly!$D:$AM, 10, FALSE), 1)</f>
        <v>1.7650967017078811E-3</v>
      </c>
      <c r="AA13" s="7">
        <f>$B13 * IFERROR(VLOOKUP("buildings|NOx|Non-fatal heart attacks", US_national_yearly!$D:$AM, 35, FALSE) / VLOOKUP("buildings|NOx|Non-fatal heart attacks", US_national_yearly!$D:$AM, 10, FALSE), 1)</f>
        <v>1.7700427595268272E-3</v>
      </c>
      <c r="AB13" s="7">
        <f>$B13 * IFERROR(VLOOKUP("buildings|NOx|Non-fatal heart attacks", US_national_yearly!$D:$AM, 36, FALSE) / VLOOKUP("buildings|NOx|Non-fatal heart attacks", US_national_yearly!$D:$AM, 10, FALSE), 1)</f>
        <v>1.7749888173457732E-3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1.0991124609157745</v>
      </c>
      <c r="C14" s="7">
        <f>$B14 * IFERROR(VLOOKUP("buildings|NOx|Minor restricted activity days", US_national_yearly!$D:$AM, 11, FALSE) / VLOOKUP("buildings|NOx|Minor restricted activity days", US_national_yearly!$D:$AM, 10, FALSE), 1)</f>
        <v>1.1008180235228135</v>
      </c>
      <c r="D14" s="7">
        <f>$B14 * IFERROR(VLOOKUP("buildings|NOx|Minor restricted activity days", US_national_yearly!$D:$AM, 12, FALSE) / VLOOKUP("buildings|NOx|Minor restricted activity days", US_national_yearly!$D:$AM, 10, FALSE), 1)</f>
        <v>1.1025235861298526</v>
      </c>
      <c r="E14" s="7">
        <f>$B14 * IFERROR(VLOOKUP("buildings|NOx|Minor restricted activity days", US_national_yearly!$D:$AM, 13, FALSE) / VLOOKUP("buildings|NOx|Minor restricted activity days", US_national_yearly!$D:$AM, 10, FALSE), 1)</f>
        <v>1.1042291487368916</v>
      </c>
      <c r="F14" s="7">
        <f>$B14 * IFERROR(VLOOKUP("buildings|NOx|Minor restricted activity days", US_national_yearly!$D:$AM, 14, FALSE) / VLOOKUP("buildings|NOx|Minor restricted activity days", US_national_yearly!$D:$AM, 10, FALSE), 1)</f>
        <v>1.1059347113439306</v>
      </c>
      <c r="G14" s="7">
        <f>$B14 * IFERROR(VLOOKUP("buildings|NOx|Minor restricted activity days", US_national_yearly!$D:$AM, 15, FALSE) / VLOOKUP("buildings|NOx|Minor restricted activity days", US_national_yearly!$D:$AM, 10, FALSE), 1)</f>
        <v>1.1089987575271691</v>
      </c>
      <c r="H14" s="7">
        <f>$B14 * IFERROR(VLOOKUP("buildings|NOx|Minor restricted activity days", US_national_yearly!$D:$AM, 16, FALSE) / VLOOKUP("buildings|NOx|Minor restricted activity days", US_national_yearly!$D:$AM, 10, FALSE), 1)</f>
        <v>1.1120628037104079</v>
      </c>
      <c r="I14" s="7">
        <f>$B14 * IFERROR(VLOOKUP("buildings|NOx|Minor restricted activity days", US_national_yearly!$D:$AM, 17, FALSE) / VLOOKUP("buildings|NOx|Minor restricted activity days", US_national_yearly!$D:$AM, 10, FALSE), 1)</f>
        <v>1.1180368195909343</v>
      </c>
      <c r="J14" s="7">
        <f>$B14 * IFERROR(VLOOKUP("buildings|NOx|Minor restricted activity days", US_national_yearly!$D:$AM, 18, FALSE) / VLOOKUP("buildings|NOx|Minor restricted activity days", US_national_yearly!$D:$AM, 10, FALSE), 1)</f>
        <v>1.1240108354714609</v>
      </c>
      <c r="K14" s="7">
        <f>$B14 * IFERROR(VLOOKUP("buildings|NOx|Minor restricted activity days", US_national_yearly!$D:$AM, 19, FALSE) / VLOOKUP("buildings|NOx|Minor restricted activity days", US_national_yearly!$D:$AM, 10, FALSE), 1)</f>
        <v>1.1299848513519872</v>
      </c>
      <c r="L14" s="7">
        <f>$B14 * IFERROR(VLOOKUP("buildings|NOx|Minor restricted activity days", US_national_yearly!$D:$AM, 20, FALSE) / VLOOKUP("buildings|NOx|Minor restricted activity days", US_national_yearly!$D:$AM, 10, FALSE), 1)</f>
        <v>1.1359588672325136</v>
      </c>
      <c r="M14" s="7">
        <f>$B14 * IFERROR(VLOOKUP("buildings|NOx|Minor restricted activity days", US_national_yearly!$D:$AM, 21, FALSE) / VLOOKUP("buildings|NOx|Minor restricted activity days", US_national_yearly!$D:$AM, 10, FALSE), 1)</f>
        <v>1.1419328831130402</v>
      </c>
      <c r="N14" s="7">
        <f>$B14 * IFERROR(VLOOKUP("buildings|NOx|Minor restricted activity days", US_national_yearly!$D:$AM, 22, FALSE) / VLOOKUP("buildings|NOx|Minor restricted activity days", US_national_yearly!$D:$AM, 10, FALSE), 1)</f>
        <v>1.150479359726766</v>
      </c>
      <c r="O14" s="7">
        <f>$B14 * IFERROR(VLOOKUP("buildings|NOx|Minor restricted activity days", US_national_yearly!$D:$AM, 23, FALSE) / VLOOKUP("buildings|NOx|Minor restricted activity days", US_national_yearly!$D:$AM, 10, FALSE), 1)</f>
        <v>1.1590258363404915</v>
      </c>
      <c r="P14" s="7">
        <f>$B14 * IFERROR(VLOOKUP("buildings|NOx|Minor restricted activity days", US_national_yearly!$D:$AM, 24, FALSE) / VLOOKUP("buildings|NOx|Minor restricted activity days", US_national_yearly!$D:$AM, 10, FALSE), 1)</f>
        <v>1.1675723129542173</v>
      </c>
      <c r="Q14" s="7">
        <f>$B14 * IFERROR(VLOOKUP("buildings|NOx|Minor restricted activity days", US_national_yearly!$D:$AM, 25, FALSE) / VLOOKUP("buildings|NOx|Minor restricted activity days", US_national_yearly!$D:$AM, 10, FALSE), 1)</f>
        <v>1.1761187895679426</v>
      </c>
      <c r="R14" s="7">
        <f>$B14 * IFERROR(VLOOKUP("buildings|NOx|Minor restricted activity days", US_national_yearly!$D:$AM, 26, FALSE) / VLOOKUP("buildings|NOx|Minor restricted activity days", US_national_yearly!$D:$AM, 10, FALSE), 1)</f>
        <v>1.1846652661816681</v>
      </c>
      <c r="S14" s="7">
        <f>$B14 * IFERROR(VLOOKUP("buildings|NOx|Minor restricted activity days", US_national_yearly!$D:$AM, 27, FALSE) / VLOOKUP("buildings|NOx|Minor restricted activity days", US_national_yearly!$D:$AM, 10, FALSE), 1)</f>
        <v>1.193209282496825</v>
      </c>
      <c r="T14" s="7">
        <f>$B14 * IFERROR(VLOOKUP("buildings|NOx|Minor restricted activity days", US_national_yearly!$D:$AM, 28, FALSE) / VLOOKUP("buildings|NOx|Minor restricted activity days", US_national_yearly!$D:$AM, 10, FALSE), 1)</f>
        <v>1.2017532988119817</v>
      </c>
      <c r="U14" s="7">
        <f>$B14 * IFERROR(VLOOKUP("buildings|NOx|Minor restricted activity days", US_national_yearly!$D:$AM, 29, FALSE) / VLOOKUP("buildings|NOx|Minor restricted activity days", US_national_yearly!$D:$AM, 10, FALSE), 1)</f>
        <v>1.2102973151271386</v>
      </c>
      <c r="V14" s="7">
        <f>$B14 * IFERROR(VLOOKUP("buildings|NOx|Minor restricted activity days", US_national_yearly!$D:$AM, 30, FALSE) / VLOOKUP("buildings|NOx|Minor restricted activity days", US_national_yearly!$D:$AM, 10, FALSE), 1)</f>
        <v>1.2188413314422952</v>
      </c>
      <c r="W14" s="7">
        <f>$B14 * IFERROR(VLOOKUP("buildings|NOx|Minor restricted activity days", US_national_yearly!$D:$AM, 31, FALSE) / VLOOKUP("buildings|NOx|Minor restricted activity days", US_national_yearly!$D:$AM, 10, FALSE), 1)</f>
        <v>1.2273853477574521</v>
      </c>
      <c r="X14" s="7">
        <f>$B14 * IFERROR(VLOOKUP("buildings|NOx|Minor restricted activity days", US_national_yearly!$D:$AM, 32, FALSE) / VLOOKUP("buildings|NOx|Minor restricted activity days", US_national_yearly!$D:$AM, 10, FALSE), 1)</f>
        <v>1.2346113733167501</v>
      </c>
      <c r="Y14" s="7">
        <f>$B14 * IFERROR(VLOOKUP("buildings|NOx|Minor restricted activity days", US_national_yearly!$D:$AM, 33, FALSE) / VLOOKUP("buildings|NOx|Minor restricted activity days", US_national_yearly!$D:$AM, 10, FALSE), 1)</f>
        <v>1.2418373988760483</v>
      </c>
      <c r="Z14" s="7">
        <f>$B14 * IFERROR(VLOOKUP("buildings|NOx|Minor restricted activity days", US_national_yearly!$D:$AM, 34, FALSE) / VLOOKUP("buildings|NOx|Minor restricted activity days", US_national_yearly!$D:$AM, 10, FALSE), 1)</f>
        <v>1.2490634244353458</v>
      </c>
      <c r="AA14" s="7">
        <f>$B14 * IFERROR(VLOOKUP("buildings|NOx|Minor restricted activity days", US_national_yearly!$D:$AM, 35, FALSE) / VLOOKUP("buildings|NOx|Minor restricted activity days", US_national_yearly!$D:$AM, 10, FALSE), 1)</f>
        <v>1.256289449994644</v>
      </c>
      <c r="AB14" s="7">
        <f>$B14 * IFERROR(VLOOKUP("buildings|NOx|Minor restricted activity days", US_national_yearly!$D:$AM, 36, FALSE) / VLOOKUP("buildings|NOx|Minor restricted activity days", US_national_yearly!$D:$AM, 10, FALSE), 1)</f>
        <v>1.2635154755539419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0.18795759816600635</v>
      </c>
      <c r="C15" s="7">
        <f>$B15 * IFERROR(VLOOKUP("buildings|NOx|Work loss days", US_national_yearly!$D:$AM, 11, FALSE) / VLOOKUP("buildings|NOx|Work loss days", US_national_yearly!$D:$AM, 10, FALSE), 1)</f>
        <v>0.18837894930387725</v>
      </c>
      <c r="D15" s="7">
        <f>$B15 * IFERROR(VLOOKUP("buildings|NOx|Work loss days", US_national_yearly!$D:$AM, 12, FALSE) / VLOOKUP("buildings|NOx|Work loss days", US_national_yearly!$D:$AM, 10, FALSE), 1)</f>
        <v>0.18880030044174809</v>
      </c>
      <c r="E15" s="7">
        <f>$B15 * IFERROR(VLOOKUP("buildings|NOx|Work loss days", US_national_yearly!$D:$AM, 13, FALSE) / VLOOKUP("buildings|NOx|Work loss days", US_national_yearly!$D:$AM, 10, FALSE), 1)</f>
        <v>0.18922165157961893</v>
      </c>
      <c r="F15" s="7">
        <f>$B15 * IFERROR(VLOOKUP("buildings|NOx|Work loss days", US_national_yearly!$D:$AM, 14, FALSE) / VLOOKUP("buildings|NOx|Work loss days", US_national_yearly!$D:$AM, 10, FALSE), 1)</f>
        <v>0.18964300271748982</v>
      </c>
      <c r="G15" s="7">
        <f>$B15 * IFERROR(VLOOKUP("buildings|NOx|Work loss days", US_national_yearly!$D:$AM, 15, FALSE) / VLOOKUP("buildings|NOx|Work loss days", US_national_yearly!$D:$AM, 10, FALSE), 1)</f>
        <v>0.1902567478896186</v>
      </c>
      <c r="H15" s="7">
        <f>$B15 * IFERROR(VLOOKUP("buildings|NOx|Work loss days", US_national_yearly!$D:$AM, 16, FALSE) / VLOOKUP("buildings|NOx|Work loss days", US_national_yearly!$D:$AM, 10, FALSE), 1)</f>
        <v>0.19087049306174739</v>
      </c>
      <c r="I15" s="7">
        <f>$B15 * IFERROR(VLOOKUP("buildings|NOx|Work loss days", US_national_yearly!$D:$AM, 17, FALSE) / VLOOKUP("buildings|NOx|Work loss days", US_national_yearly!$D:$AM, 10, FALSE), 1)</f>
        <v>0.19186310399891746</v>
      </c>
      <c r="J15" s="7">
        <f>$B15 * IFERROR(VLOOKUP("buildings|NOx|Work loss days", US_national_yearly!$D:$AM, 18, FALSE) / VLOOKUP("buildings|NOx|Work loss days", US_national_yearly!$D:$AM, 10, FALSE), 1)</f>
        <v>0.1928557149360875</v>
      </c>
      <c r="K15" s="7">
        <f>$B15 * IFERROR(VLOOKUP("buildings|NOx|Work loss days", US_national_yearly!$D:$AM, 19, FALSE) / VLOOKUP("buildings|NOx|Work loss days", US_national_yearly!$D:$AM, 10, FALSE), 1)</f>
        <v>0.19384832587325757</v>
      </c>
      <c r="L15" s="7">
        <f>$B15 * IFERROR(VLOOKUP("buildings|NOx|Work loss days", US_national_yearly!$D:$AM, 20, FALSE) / VLOOKUP("buildings|NOx|Work loss days", US_national_yearly!$D:$AM, 10, FALSE), 1)</f>
        <v>0.19484093681042766</v>
      </c>
      <c r="M15" s="7">
        <f>$B15 * IFERROR(VLOOKUP("buildings|NOx|Work loss days", US_national_yearly!$D:$AM, 21, FALSE) / VLOOKUP("buildings|NOx|Work loss days", US_national_yearly!$D:$AM, 10, FALSE), 1)</f>
        <v>0.19583354774759767</v>
      </c>
      <c r="N15" s="7">
        <f>$B15 * IFERROR(VLOOKUP("buildings|NOx|Work loss days", US_national_yearly!$D:$AM, 22, FALSE) / VLOOKUP("buildings|NOx|Work loss days", US_national_yearly!$D:$AM, 10, FALSE), 1)</f>
        <v>0.19712493621415164</v>
      </c>
      <c r="O15" s="7">
        <f>$B15 * IFERROR(VLOOKUP("buildings|NOx|Work loss days", US_national_yearly!$D:$AM, 23, FALSE) / VLOOKUP("buildings|NOx|Work loss days", US_national_yearly!$D:$AM, 10, FALSE), 1)</f>
        <v>0.19841632468070561</v>
      </c>
      <c r="P15" s="7">
        <f>$B15 * IFERROR(VLOOKUP("buildings|NOx|Work loss days", US_national_yearly!$D:$AM, 24, FALSE) / VLOOKUP("buildings|NOx|Work loss days", US_national_yearly!$D:$AM, 10, FALSE), 1)</f>
        <v>0.19970771314725955</v>
      </c>
      <c r="Q15" s="7">
        <f>$B15 * IFERROR(VLOOKUP("buildings|NOx|Work loss days", US_national_yearly!$D:$AM, 25, FALSE) / VLOOKUP("buildings|NOx|Work loss days", US_national_yearly!$D:$AM, 10, FALSE), 1)</f>
        <v>0.20099910161381357</v>
      </c>
      <c r="R15" s="7">
        <f>$B15 * IFERROR(VLOOKUP("buildings|NOx|Work loss days", US_national_yearly!$D:$AM, 26, FALSE) / VLOOKUP("buildings|NOx|Work loss days", US_national_yearly!$D:$AM, 10, FALSE), 1)</f>
        <v>0.20229049008036751</v>
      </c>
      <c r="S15" s="7">
        <f>$B15 * IFERROR(VLOOKUP("buildings|NOx|Work loss days", US_national_yearly!$D:$AM, 27, FALSE) / VLOOKUP("buildings|NOx|Work loss days", US_national_yearly!$D:$AM, 10, FALSE), 1)</f>
        <v>0.20372951621222468</v>
      </c>
      <c r="T15" s="7">
        <f>$B15 * IFERROR(VLOOKUP("buildings|NOx|Work loss days", US_national_yearly!$D:$AM, 28, FALSE) / VLOOKUP("buildings|NOx|Work loss days", US_national_yearly!$D:$AM, 10, FALSE), 1)</f>
        <v>0.20516854234408188</v>
      </c>
      <c r="U15" s="7">
        <f>$B15 * IFERROR(VLOOKUP("buildings|NOx|Work loss days", US_national_yearly!$D:$AM, 29, FALSE) / VLOOKUP("buildings|NOx|Work loss days", US_national_yearly!$D:$AM, 10, FALSE), 1)</f>
        <v>0.20660756847593903</v>
      </c>
      <c r="V15" s="7">
        <f>$B15 * IFERROR(VLOOKUP("buildings|NOx|Work loss days", US_national_yearly!$D:$AM, 30, FALSE) / VLOOKUP("buildings|NOx|Work loss days", US_national_yearly!$D:$AM, 10, FALSE), 1)</f>
        <v>0.2080465946077962</v>
      </c>
      <c r="W15" s="7">
        <f>$B15 * IFERROR(VLOOKUP("buildings|NOx|Work loss days", US_national_yearly!$D:$AM, 31, FALSE) / VLOOKUP("buildings|NOx|Work loss days", US_national_yearly!$D:$AM, 10, FALSE), 1)</f>
        <v>0.20948562073965338</v>
      </c>
      <c r="X15" s="7">
        <f>$B15 * IFERROR(VLOOKUP("buildings|NOx|Work loss days", US_national_yearly!$D:$AM, 32, FALSE) / VLOOKUP("buildings|NOx|Work loss days", US_national_yearly!$D:$AM, 10, FALSE), 1)</f>
        <v>0.2107349960882362</v>
      </c>
      <c r="Y15" s="7">
        <f>$B15 * IFERROR(VLOOKUP("buildings|NOx|Work loss days", US_national_yearly!$D:$AM, 33, FALSE) / VLOOKUP("buildings|NOx|Work loss days", US_national_yearly!$D:$AM, 10, FALSE), 1)</f>
        <v>0.21198437143681903</v>
      </c>
      <c r="Z15" s="7">
        <f>$B15 * IFERROR(VLOOKUP("buildings|NOx|Work loss days", US_national_yearly!$D:$AM, 34, FALSE) / VLOOKUP("buildings|NOx|Work loss days", US_national_yearly!$D:$AM, 10, FALSE), 1)</f>
        <v>0.21323374678540186</v>
      </c>
      <c r="AA15" s="7">
        <f>$B15 * IFERROR(VLOOKUP("buildings|NOx|Work loss days", US_national_yearly!$D:$AM, 35, FALSE) / VLOOKUP("buildings|NOx|Work loss days", US_national_yearly!$D:$AM, 10, FALSE), 1)</f>
        <v>0.21448312213398465</v>
      </c>
      <c r="AB15" s="7">
        <f>$B15 * IFERROR(VLOOKUP("buildings|NOx|Work loss days", US_national_yearly!$D:$AM, 36, FALSE) / VLOOKUP("buildings|NOx|Work loss days", US_national_yearly!$D:$AM, 10, FALSE), 1)</f>
        <v>0.21573249748256748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3.1187383710207982E-4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3.2104295562574255E-4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3.3021207414940529E-4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3.3938119267306802E-4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3.4855031119673075E-4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3.5726080702995478E-4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3.6597130286317885E-4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3.733003251180228E-4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3.8062934737286664E-4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3.8795836962771053E-4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3.9528739188255437E-4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4.0261641413739816E-4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4.0720096791170817E-4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4.1178552168601802E-4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4.1637007546032793E-4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4.2095462923463783E-4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4.2553918300894763E-4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4.2763399607253811E-4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4.2972880913612853E-4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4.3182362219971901E-4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4.3391843526330943E-4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4.3601324832689991E-4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4.3718087597757066E-4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4.3834850362824146E-4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4.395161312789122E-4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4.4068375892958301E-4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4.4185138658025375E-4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8.1745650426214914E-3</v>
      </c>
      <c r="C2" s="7">
        <f>$B2 * IFERROR(VLOOKUP("buildings|SO2|Premature mortality", US_national_yearly!$D:$AM, 11, FALSE) / VLOOKUP("buildings|SO2|Premature mortality", US_national_yearly!$D:$AM, 10, FALSE), 1)</f>
        <v>8.2781237991498176E-3</v>
      </c>
      <c r="D2" s="7">
        <f>$B2 * IFERROR(VLOOKUP("buildings|SO2|Premature mortality", US_national_yearly!$D:$AM, 12, FALSE) / VLOOKUP("buildings|SO2|Premature mortality", US_national_yearly!$D:$AM, 10, FALSE), 1)</f>
        <v>8.3816825556781421E-3</v>
      </c>
      <c r="E2" s="7">
        <f>$B2 * IFERROR(VLOOKUP("buildings|SO2|Premature mortality", US_national_yearly!$D:$AM, 13, FALSE) / VLOOKUP("buildings|SO2|Premature mortality", US_national_yearly!$D:$AM, 10, FALSE), 1)</f>
        <v>8.4852413122064665E-3</v>
      </c>
      <c r="F2" s="7">
        <f>$B2 * IFERROR(VLOOKUP("buildings|SO2|Premature mortality", US_national_yearly!$D:$AM, 14, FALSE) / VLOOKUP("buildings|SO2|Premature mortality", US_national_yearly!$D:$AM, 10, FALSE), 1)</f>
        <v>8.5888000687347928E-3</v>
      </c>
      <c r="G2" s="7">
        <f>$B2 * IFERROR(VLOOKUP("buildings|SO2|Premature mortality", US_national_yearly!$D:$AM, 15, FALSE) / VLOOKUP("buildings|SO2|Premature mortality", US_national_yearly!$D:$AM, 10, FALSE), 1)</f>
        <v>8.7883367797525619E-3</v>
      </c>
      <c r="H2" s="7">
        <f>$B2 * IFERROR(VLOOKUP("buildings|SO2|Premature mortality", US_national_yearly!$D:$AM, 16, FALSE) / VLOOKUP("buildings|SO2|Premature mortality", US_national_yearly!$D:$AM, 10, FALSE), 1)</f>
        <v>8.9878734907703327E-3</v>
      </c>
      <c r="I2" s="7">
        <f>$B2 * IFERROR(VLOOKUP("buildings|SO2|Premature mortality", US_national_yearly!$D:$AM, 17, FALSE) / VLOOKUP("buildings|SO2|Premature mortality", US_national_yearly!$D:$AM, 10, FALSE), 1)</f>
        <v>9.1198060179897428E-3</v>
      </c>
      <c r="J2" s="7">
        <f>$B2 * IFERROR(VLOOKUP("buildings|SO2|Premature mortality", US_national_yearly!$D:$AM, 18, FALSE) / VLOOKUP("buildings|SO2|Premature mortality", US_national_yearly!$D:$AM, 10, FALSE), 1)</f>
        <v>9.2517385452091528E-3</v>
      </c>
      <c r="K2" s="7">
        <f>$B2 * IFERROR(VLOOKUP("buildings|SO2|Premature mortality", US_national_yearly!$D:$AM, 19, FALSE) / VLOOKUP("buildings|SO2|Premature mortality", US_national_yearly!$D:$AM, 10, FALSE), 1)</f>
        <v>9.3836710724285628E-3</v>
      </c>
      <c r="L2" s="7">
        <f>$B2 * IFERROR(VLOOKUP("buildings|SO2|Premature mortality", US_national_yearly!$D:$AM, 20, FALSE) / VLOOKUP("buildings|SO2|Premature mortality", US_national_yearly!$D:$AM, 10, FALSE), 1)</f>
        <v>9.5156035996479729E-3</v>
      </c>
      <c r="M2" s="7">
        <f>$B2 * IFERROR(VLOOKUP("buildings|SO2|Premature mortality", US_national_yearly!$D:$AM, 21, FALSE) / VLOOKUP("buildings|SO2|Premature mortality", US_national_yearly!$D:$AM, 10, FALSE), 1)</f>
        <v>9.6475361268673829E-3</v>
      </c>
      <c r="N2" s="7">
        <f>$B2 * IFERROR(VLOOKUP("buildings|SO2|Premature mortality", US_national_yearly!$D:$AM, 22, FALSE) / VLOOKUP("buildings|SO2|Premature mortality", US_national_yearly!$D:$AM, 10, FALSE), 1)</f>
        <v>9.750597182905758E-3</v>
      </c>
      <c r="O2" s="7">
        <f>$B2 * IFERROR(VLOOKUP("buildings|SO2|Premature mortality", US_national_yearly!$D:$AM, 23, FALSE) / VLOOKUP("buildings|SO2|Premature mortality", US_national_yearly!$D:$AM, 10, FALSE), 1)</f>
        <v>9.8536582389441279E-3</v>
      </c>
      <c r="P2" s="7">
        <f>$B2 * IFERROR(VLOOKUP("buildings|SO2|Premature mortality", US_national_yearly!$D:$AM, 24, FALSE) / VLOOKUP("buildings|SO2|Premature mortality", US_national_yearly!$D:$AM, 10, FALSE), 1)</f>
        <v>9.9567192949825013E-3</v>
      </c>
      <c r="Q2" s="7">
        <f>$B2 * IFERROR(VLOOKUP("buildings|SO2|Premature mortality", US_national_yearly!$D:$AM, 25, FALSE) / VLOOKUP("buildings|SO2|Premature mortality", US_national_yearly!$D:$AM, 10, FALSE), 1)</f>
        <v>1.0059780351020873E-2</v>
      </c>
      <c r="R2" s="7">
        <f>$B2 * IFERROR(VLOOKUP("buildings|SO2|Premature mortality", US_national_yearly!$D:$AM, 26, FALSE) / VLOOKUP("buildings|SO2|Premature mortality", US_national_yearly!$D:$AM, 10, FALSE), 1)</f>
        <v>1.0162841407059246E-2</v>
      </c>
      <c r="S2" s="7">
        <f>$B2 * IFERROR(VLOOKUP("buildings|SO2|Premature mortality", US_national_yearly!$D:$AM, 27, FALSE) / VLOOKUP("buildings|SO2|Premature mortality", US_national_yearly!$D:$AM, 10, FALSE), 1)</f>
        <v>1.0218000860666255E-2</v>
      </c>
      <c r="T2" s="7">
        <f>$B2 * IFERROR(VLOOKUP("buildings|SO2|Premature mortality", US_national_yearly!$D:$AM, 28, FALSE) / VLOOKUP("buildings|SO2|Premature mortality", US_national_yearly!$D:$AM, 10, FALSE), 1)</f>
        <v>1.0273160314273265E-2</v>
      </c>
      <c r="U2" s="7">
        <f>$B2 * IFERROR(VLOOKUP("buildings|SO2|Premature mortality", US_national_yearly!$D:$AM, 29, FALSE) / VLOOKUP("buildings|SO2|Premature mortality", US_national_yearly!$D:$AM, 10, FALSE), 1)</f>
        <v>1.0328319767880276E-2</v>
      </c>
      <c r="V2" s="7">
        <f>$B2 * IFERROR(VLOOKUP("buildings|SO2|Premature mortality", US_national_yearly!$D:$AM, 30, FALSE) / VLOOKUP("buildings|SO2|Premature mortality", US_national_yearly!$D:$AM, 10, FALSE), 1)</f>
        <v>1.0383479221487286E-2</v>
      </c>
      <c r="W2" s="7">
        <f>$B2 * IFERROR(VLOOKUP("buildings|SO2|Premature mortality", US_national_yearly!$D:$AM, 31, FALSE) / VLOOKUP("buildings|SO2|Premature mortality", US_national_yearly!$D:$AM, 10, FALSE), 1)</f>
        <v>1.0438638675094297E-2</v>
      </c>
      <c r="X2" s="7">
        <f>$B2 * IFERROR(VLOOKUP("buildings|SO2|Premature mortality", US_national_yearly!$D:$AM, 32, FALSE) / VLOOKUP("buildings|SO2|Premature mortality", US_national_yearly!$D:$AM, 10, FALSE), 1)</f>
        <v>1.0449784467663766E-2</v>
      </c>
      <c r="Y2" s="7">
        <f>$B2 * IFERROR(VLOOKUP("buildings|SO2|Premature mortality", US_national_yearly!$D:$AM, 33, FALSE) / VLOOKUP("buildings|SO2|Premature mortality", US_national_yearly!$D:$AM, 10, FALSE), 1)</f>
        <v>1.0460930260233234E-2</v>
      </c>
      <c r="Z2" s="7">
        <f>$B2 * IFERROR(VLOOKUP("buildings|SO2|Premature mortality", US_national_yearly!$D:$AM, 34, FALSE) / VLOOKUP("buildings|SO2|Premature mortality", US_national_yearly!$D:$AM, 10, FALSE), 1)</f>
        <v>1.0472076052802703E-2</v>
      </c>
      <c r="AA2" s="7">
        <f>$B2 * IFERROR(VLOOKUP("buildings|SO2|Premature mortality", US_national_yearly!$D:$AM, 35, FALSE) / VLOOKUP("buildings|SO2|Premature mortality", US_national_yearly!$D:$AM, 10, FALSE), 1)</f>
        <v>1.0483221845372172E-2</v>
      </c>
      <c r="AB2" s="7">
        <f>$B2 * IFERROR(VLOOKUP("buildings|SO2|Premature mortality", US_national_yearly!$D:$AM, 36, FALSE) / VLOOKUP("buildings|SO2|Premature mortality", US_national_yearly!$D:$AM, 10, FALSE), 1)</f>
        <v>1.0494367637941643E-2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1.7311264317218514E-5</v>
      </c>
      <c r="C3" s="7">
        <f>$B3 * IFERROR(VLOOKUP("buildings|SO2|Infant mortality", US_national_yearly!$D:$AM, 11, FALSE) / VLOOKUP("buildings|SO2|Infant mortality", US_national_yearly!$D:$AM, 10, FALSE), 1)</f>
        <v>1.7162882421546023E-5</v>
      </c>
      <c r="D3" s="7">
        <f>$B3 * IFERROR(VLOOKUP("buildings|SO2|Infant mortality", US_national_yearly!$D:$AM, 12, FALSE) / VLOOKUP("buildings|SO2|Infant mortality", US_national_yearly!$D:$AM, 10, FALSE), 1)</f>
        <v>1.7014500525873532E-5</v>
      </c>
      <c r="E3" s="7">
        <f>$B3 * IFERROR(VLOOKUP("buildings|SO2|Infant mortality", US_national_yearly!$D:$AM, 13, FALSE) / VLOOKUP("buildings|SO2|Infant mortality", US_national_yearly!$D:$AM, 10, FALSE), 1)</f>
        <v>1.6866118630201044E-5</v>
      </c>
      <c r="F3" s="7">
        <f>$B3 * IFERROR(VLOOKUP("buildings|SO2|Infant mortality", US_national_yearly!$D:$AM, 14, FALSE) / VLOOKUP("buildings|SO2|Infant mortality", US_national_yearly!$D:$AM, 10, FALSE), 1)</f>
        <v>1.6717736734528553E-5</v>
      </c>
      <c r="G3" s="7">
        <f>$B3 * IFERROR(VLOOKUP("buildings|SO2|Infant mortality", US_national_yearly!$D:$AM, 15, FALSE) / VLOOKUP("buildings|SO2|Infant mortality", US_national_yearly!$D:$AM, 10, FALSE), 1)</f>
        <v>1.1133350362909808E-5</v>
      </c>
      <c r="H3" s="7">
        <f>$B3 * IFERROR(VLOOKUP("buildings|SO2|Infant mortality", US_national_yearly!$D:$AM, 16, FALSE) / VLOOKUP("buildings|SO2|Infant mortality", US_national_yearly!$D:$AM, 10, FALSE), 1)</f>
        <v>5.5489639912910635E-6</v>
      </c>
      <c r="I3" s="7">
        <f>$B3 * IFERROR(VLOOKUP("buildings|SO2|Infant mortality", US_national_yearly!$D:$AM, 17, FALSE) / VLOOKUP("buildings|SO2|Infant mortality", US_national_yearly!$D:$AM, 10, FALSE), 1)</f>
        <v>5.5141491784378057E-6</v>
      </c>
      <c r="J3" s="7">
        <f>$B3 * IFERROR(VLOOKUP("buildings|SO2|Infant mortality", US_national_yearly!$D:$AM, 18, FALSE) / VLOOKUP("buildings|SO2|Infant mortality", US_national_yearly!$D:$AM, 10, FALSE), 1)</f>
        <v>5.479334365584547E-6</v>
      </c>
      <c r="K3" s="7">
        <f>$B3 * IFERROR(VLOOKUP("buildings|SO2|Infant mortality", US_national_yearly!$D:$AM, 19, FALSE) / VLOOKUP("buildings|SO2|Infant mortality", US_national_yearly!$D:$AM, 10, FALSE), 1)</f>
        <v>5.4445195527312892E-6</v>
      </c>
      <c r="L3" s="7">
        <f>$B3 * IFERROR(VLOOKUP("buildings|SO2|Infant mortality", US_national_yearly!$D:$AM, 20, FALSE) / VLOOKUP("buildings|SO2|Infant mortality", US_national_yearly!$D:$AM, 10, FALSE), 1)</f>
        <v>5.4097047398780305E-6</v>
      </c>
      <c r="M3" s="7">
        <f>$B3 * IFERROR(VLOOKUP("buildings|SO2|Infant mortality", US_national_yearly!$D:$AM, 21, FALSE) / VLOOKUP("buildings|SO2|Infant mortality", US_national_yearly!$D:$AM, 10, FALSE), 1)</f>
        <v>5.3748899270247736E-6</v>
      </c>
      <c r="N3" s="7">
        <f>$B3 * IFERROR(VLOOKUP("buildings|SO2|Infant mortality", US_national_yearly!$D:$AM, 22, FALSE) / VLOOKUP("buildings|SO2|Infant mortality", US_national_yearly!$D:$AM, 10, FALSE), 1)</f>
        <v>5.353064737813808E-6</v>
      </c>
      <c r="O3" s="7">
        <f>$B3 * IFERROR(VLOOKUP("buildings|SO2|Infant mortality", US_national_yearly!$D:$AM, 23, FALSE) / VLOOKUP("buildings|SO2|Infant mortality", US_national_yearly!$D:$AM, 10, FALSE), 1)</f>
        <v>5.3312395486028424E-6</v>
      </c>
      <c r="P3" s="7">
        <f>$B3 * IFERROR(VLOOKUP("buildings|SO2|Infant mortality", US_national_yearly!$D:$AM, 24, FALSE) / VLOOKUP("buildings|SO2|Infant mortality", US_national_yearly!$D:$AM, 10, FALSE), 1)</f>
        <v>5.3094143593918769E-6</v>
      </c>
      <c r="Q3" s="7">
        <f>$B3 * IFERROR(VLOOKUP("buildings|SO2|Infant mortality", US_national_yearly!$D:$AM, 25, FALSE) / VLOOKUP("buildings|SO2|Infant mortality", US_national_yearly!$D:$AM, 10, FALSE), 1)</f>
        <v>5.2875891701809113E-6</v>
      </c>
      <c r="R3" s="7">
        <f>$B3 * IFERROR(VLOOKUP("buildings|SO2|Infant mortality", US_national_yearly!$D:$AM, 26, FALSE) / VLOOKUP("buildings|SO2|Infant mortality", US_national_yearly!$D:$AM, 10, FALSE), 1)</f>
        <v>5.2657639809699457E-6</v>
      </c>
      <c r="S3" s="7">
        <f>$B3 * IFERROR(VLOOKUP("buildings|SO2|Infant mortality", US_national_yearly!$D:$AM, 27, FALSE) / VLOOKUP("buildings|SO2|Infant mortality", US_national_yearly!$D:$AM, 10, FALSE), 1)</f>
        <v>5.2383584625824859E-6</v>
      </c>
      <c r="T3" s="7">
        <f>$B3 * IFERROR(VLOOKUP("buildings|SO2|Infant mortality", US_national_yearly!$D:$AM, 28, FALSE) / VLOOKUP("buildings|SO2|Infant mortality", US_national_yearly!$D:$AM, 10, FALSE), 1)</f>
        <v>5.2109529441950253E-6</v>
      </c>
      <c r="U3" s="7">
        <f>$B3 * IFERROR(VLOOKUP("buildings|SO2|Infant mortality", US_national_yearly!$D:$AM, 29, FALSE) / VLOOKUP("buildings|SO2|Infant mortality", US_national_yearly!$D:$AM, 10, FALSE), 1)</f>
        <v>5.1835474258075654E-6</v>
      </c>
      <c r="V3" s="7">
        <f>$B3 * IFERROR(VLOOKUP("buildings|SO2|Infant mortality", US_national_yearly!$D:$AM, 30, FALSE) / VLOOKUP("buildings|SO2|Infant mortality", US_national_yearly!$D:$AM, 10, FALSE), 1)</f>
        <v>5.1561419074201056E-6</v>
      </c>
      <c r="W3" s="7">
        <f>$B3 * IFERROR(VLOOKUP("buildings|SO2|Infant mortality", US_national_yearly!$D:$AM, 31, FALSE) / VLOOKUP("buildings|SO2|Infant mortality", US_national_yearly!$D:$AM, 10, FALSE), 1)</f>
        <v>5.1287363890326458E-6</v>
      </c>
      <c r="X3" s="7">
        <f>$B3 * IFERROR(VLOOKUP("buildings|SO2|Infant mortality", US_national_yearly!$D:$AM, 32, FALSE) / VLOOKUP("buildings|SO2|Infant mortality", US_national_yearly!$D:$AM, 10, FALSE), 1)</f>
        <v>5.0988052205058905E-6</v>
      </c>
      <c r="Y3" s="7">
        <f>$B3 * IFERROR(VLOOKUP("buildings|SO2|Infant mortality", US_national_yearly!$D:$AM, 33, FALSE) / VLOOKUP("buildings|SO2|Infant mortality", US_national_yearly!$D:$AM, 10, FALSE), 1)</f>
        <v>5.0688740519791352E-6</v>
      </c>
      <c r="Z3" s="7">
        <f>$B3 * IFERROR(VLOOKUP("buildings|SO2|Infant mortality", US_national_yearly!$D:$AM, 34, FALSE) / VLOOKUP("buildings|SO2|Infant mortality", US_national_yearly!$D:$AM, 10, FALSE), 1)</f>
        <v>5.0389428834523816E-6</v>
      </c>
      <c r="AA3" s="7">
        <f>$B3 * IFERROR(VLOOKUP("buildings|SO2|Infant mortality", US_national_yearly!$D:$AM, 35, FALSE) / VLOOKUP("buildings|SO2|Infant mortality", US_national_yearly!$D:$AM, 10, FALSE), 1)</f>
        <v>5.0090117149256255E-6</v>
      </c>
      <c r="AB3" s="7">
        <f>$B3 * IFERROR(VLOOKUP("buildings|SO2|Infant mortality", US_national_yearly!$D:$AM, 36, FALSE) / VLOOKUP("buildings|SO2|Infant mortality", US_national_yearly!$D:$AM, 10, FALSE), 1)</f>
        <v>4.9790805463988719E-6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2.3712262971706626E-2</v>
      </c>
      <c r="C6" s="7">
        <f>$B6 * IFERROR(VLOOKUP("buildings|SO2|Asthma symptoms cough", US_national_yearly!$D:$AM, 11, FALSE) / VLOOKUP("buildings|SO2|Asthma symptoms cough", US_national_yearly!$D:$AM, 10, FALSE), 1)</f>
        <v>2.3712262971706626E-2</v>
      </c>
      <c r="D6" s="7">
        <f>$B6 * IFERROR(VLOOKUP("buildings|SO2|Asthma symptoms cough", US_national_yearly!$D:$AM, 12, FALSE) / VLOOKUP("buildings|SO2|Asthma symptoms cough", US_national_yearly!$D:$AM, 10, FALSE), 1)</f>
        <v>2.3712262971706626E-2</v>
      </c>
      <c r="E6" s="7">
        <f>$B6 * IFERROR(VLOOKUP("buildings|SO2|Asthma symptoms cough", US_national_yearly!$D:$AM, 13, FALSE) / VLOOKUP("buildings|SO2|Asthma symptoms cough", US_national_yearly!$D:$AM, 10, FALSE), 1)</f>
        <v>2.3712262971706626E-2</v>
      </c>
      <c r="F6" s="7">
        <f>$B6 * IFERROR(VLOOKUP("buildings|SO2|Asthma symptoms cough", US_national_yearly!$D:$AM, 14, FALSE) / VLOOKUP("buildings|SO2|Asthma symptoms cough", US_national_yearly!$D:$AM, 10, FALSE), 1)</f>
        <v>2.3712262971706626E-2</v>
      </c>
      <c r="G6" s="7">
        <f>$B6 * IFERROR(VLOOKUP("buildings|SO2|Asthma symptoms cough", US_national_yearly!$D:$AM, 15, FALSE) / VLOOKUP("buildings|SO2|Asthma symptoms cough", US_national_yearly!$D:$AM, 10, FALSE), 1)</f>
        <v>2.3712262971706626E-2</v>
      </c>
      <c r="H6" s="7">
        <f>$B6 * IFERROR(VLOOKUP("buildings|SO2|Asthma symptoms cough", US_national_yearly!$D:$AM, 16, FALSE) / VLOOKUP("buildings|SO2|Asthma symptoms cough", US_national_yearly!$D:$AM, 10, FALSE), 1)</f>
        <v>2.3712262971706626E-2</v>
      </c>
      <c r="I6" s="7">
        <f>$B6 * IFERROR(VLOOKUP("buildings|SO2|Asthma symptoms cough", US_national_yearly!$D:$AM, 17, FALSE) / VLOOKUP("buildings|SO2|Asthma symptoms cough", US_national_yearly!$D:$AM, 10, FALSE), 1)</f>
        <v>2.3712262971706626E-2</v>
      </c>
      <c r="J6" s="7">
        <f>$B6 * IFERROR(VLOOKUP("buildings|SO2|Asthma symptoms cough", US_national_yearly!$D:$AM, 18, FALSE) / VLOOKUP("buildings|SO2|Asthma symptoms cough", US_national_yearly!$D:$AM, 10, FALSE), 1)</f>
        <v>2.3712262971706626E-2</v>
      </c>
      <c r="K6" s="7">
        <f>$B6 * IFERROR(VLOOKUP("buildings|SO2|Asthma symptoms cough", US_national_yearly!$D:$AM, 19, FALSE) / VLOOKUP("buildings|SO2|Asthma symptoms cough", US_national_yearly!$D:$AM, 10, FALSE), 1)</f>
        <v>2.3712262971706626E-2</v>
      </c>
      <c r="L6" s="7">
        <f>$B6 * IFERROR(VLOOKUP("buildings|SO2|Asthma symptoms cough", US_national_yearly!$D:$AM, 20, FALSE) / VLOOKUP("buildings|SO2|Asthma symptoms cough", US_national_yearly!$D:$AM, 10, FALSE), 1)</f>
        <v>2.3712262971706626E-2</v>
      </c>
      <c r="M6" s="7">
        <f>$B6 * IFERROR(VLOOKUP("buildings|SO2|Asthma symptoms cough", US_national_yearly!$D:$AM, 21, FALSE) / VLOOKUP("buildings|SO2|Asthma symptoms cough", US_national_yearly!$D:$AM, 10, FALSE), 1)</f>
        <v>2.3712262971706626E-2</v>
      </c>
      <c r="N6" s="7">
        <f>$B6 * IFERROR(VLOOKUP("buildings|SO2|Asthma symptoms cough", US_national_yearly!$D:$AM, 22, FALSE) / VLOOKUP("buildings|SO2|Asthma symptoms cough", US_national_yearly!$D:$AM, 10, FALSE), 1)</f>
        <v>2.3712262971706626E-2</v>
      </c>
      <c r="O6" s="7">
        <f>$B6 * IFERROR(VLOOKUP("buildings|SO2|Asthma symptoms cough", US_national_yearly!$D:$AM, 23, FALSE) / VLOOKUP("buildings|SO2|Asthma symptoms cough", US_national_yearly!$D:$AM, 10, FALSE), 1)</f>
        <v>2.3712262971706626E-2</v>
      </c>
      <c r="P6" s="7">
        <f>$B6 * IFERROR(VLOOKUP("buildings|SO2|Asthma symptoms cough", US_national_yearly!$D:$AM, 24, FALSE) / VLOOKUP("buildings|SO2|Asthma symptoms cough", US_national_yearly!$D:$AM, 10, FALSE), 1)</f>
        <v>2.3712262971706626E-2</v>
      </c>
      <c r="Q6" s="7">
        <f>$B6 * IFERROR(VLOOKUP("buildings|SO2|Asthma symptoms cough", US_national_yearly!$D:$AM, 25, FALSE) / VLOOKUP("buildings|SO2|Asthma symptoms cough", US_national_yearly!$D:$AM, 10, FALSE), 1)</f>
        <v>2.3712262971706626E-2</v>
      </c>
      <c r="R6" s="7">
        <f>$B6 * IFERROR(VLOOKUP("buildings|SO2|Asthma symptoms cough", US_national_yearly!$D:$AM, 26, FALSE) / VLOOKUP("buildings|SO2|Asthma symptoms cough", US_national_yearly!$D:$AM, 10, FALSE), 1)</f>
        <v>2.3712262971706626E-2</v>
      </c>
      <c r="S6" s="7">
        <f>$B6 * IFERROR(VLOOKUP("buildings|SO2|Asthma symptoms cough", US_national_yearly!$D:$AM, 27, FALSE) / VLOOKUP("buildings|SO2|Asthma symptoms cough", US_national_yearly!$D:$AM, 10, FALSE), 1)</f>
        <v>2.3712262971706626E-2</v>
      </c>
      <c r="T6" s="7">
        <f>$B6 * IFERROR(VLOOKUP("buildings|SO2|Asthma symptoms cough", US_national_yearly!$D:$AM, 28, FALSE) / VLOOKUP("buildings|SO2|Asthma symptoms cough", US_national_yearly!$D:$AM, 10, FALSE), 1)</f>
        <v>2.3712262971706626E-2</v>
      </c>
      <c r="U6" s="7">
        <f>$B6 * IFERROR(VLOOKUP("buildings|SO2|Asthma symptoms cough", US_national_yearly!$D:$AM, 29, FALSE) / VLOOKUP("buildings|SO2|Asthma symptoms cough", US_national_yearly!$D:$AM, 10, FALSE), 1)</f>
        <v>2.3712262971706626E-2</v>
      </c>
      <c r="V6" s="7">
        <f>$B6 * IFERROR(VLOOKUP("buildings|SO2|Asthma symptoms cough", US_national_yearly!$D:$AM, 30, FALSE) / VLOOKUP("buildings|SO2|Asthma symptoms cough", US_national_yearly!$D:$AM, 10, FALSE), 1)</f>
        <v>2.3712262971706626E-2</v>
      </c>
      <c r="W6" s="7">
        <f>$B6 * IFERROR(VLOOKUP("buildings|SO2|Asthma symptoms cough", US_national_yearly!$D:$AM, 31, FALSE) / VLOOKUP("buildings|SO2|Asthma symptoms cough", US_national_yearly!$D:$AM, 10, FALSE), 1)</f>
        <v>2.3712262971706626E-2</v>
      </c>
      <c r="X6" s="7">
        <f>$B6 * IFERROR(VLOOKUP("buildings|SO2|Asthma symptoms cough", US_national_yearly!$D:$AM, 32, FALSE) / VLOOKUP("buildings|SO2|Asthma symptoms cough", US_national_yearly!$D:$AM, 10, FALSE), 1)</f>
        <v>2.3712262971706626E-2</v>
      </c>
      <c r="Y6" s="7">
        <f>$B6 * IFERROR(VLOOKUP("buildings|SO2|Asthma symptoms cough", US_national_yearly!$D:$AM, 33, FALSE) / VLOOKUP("buildings|SO2|Asthma symptoms cough", US_national_yearly!$D:$AM, 10, FALSE), 1)</f>
        <v>2.3712262971706626E-2</v>
      </c>
      <c r="Z6" s="7">
        <f>$B6 * IFERROR(VLOOKUP("buildings|SO2|Asthma symptoms cough", US_national_yearly!$D:$AM, 34, FALSE) / VLOOKUP("buildings|SO2|Asthma symptoms cough", US_national_yearly!$D:$AM, 10, FALSE), 1)</f>
        <v>2.3712262971706626E-2</v>
      </c>
      <c r="AA6" s="7">
        <f>$B6 * IFERROR(VLOOKUP("buildings|SO2|Asthma symptoms cough", US_national_yearly!$D:$AM, 35, FALSE) / VLOOKUP("buildings|SO2|Asthma symptoms cough", US_national_yearly!$D:$AM, 10, FALSE), 1)</f>
        <v>2.3712262971706626E-2</v>
      </c>
      <c r="AB6" s="7">
        <f>$B6 * IFERROR(VLOOKUP("buildings|SO2|Asthma symptoms cough", US_national_yearly!$D:$AM, 36, FALSE) / VLOOKUP("buildings|SO2|Asthma symptoms cough", US_national_yearly!$D:$AM, 10, FALSE), 1)</f>
        <v>2.3712262971706626E-2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3.1932002151427052E-2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3.1932002151427052E-2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3.1932002151427052E-2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3.1932002151427052E-2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3.1932002151427052E-2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3.1932002151427052E-2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3.1932002151427052E-2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3.1932002151427052E-2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3.1932002151427052E-2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3.1932002151427052E-2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3.1932002151427052E-2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3.1932002151427052E-2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3.1932002151427052E-2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3.1932002151427052E-2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3.1932002151427052E-2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3.1932002151427052E-2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3.1932002151427052E-2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3.1932002151427052E-2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3.1932002151427052E-2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3.1932002151427052E-2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3.1932002151427052E-2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3.1932002151427052E-2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3.1932002151427052E-2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3.1932002151427052E-2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3.1932002151427052E-2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3.1932002151427052E-2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3.1932002151427052E-2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4.8786690063068905E-2</v>
      </c>
      <c r="C8" s="7">
        <f>$B8 * IFERROR(VLOOKUP("buildings|SO2|Asthma symptoms wheeze", US_national_yearly!$D:$AM, 11, FALSE) / VLOOKUP("buildings|SO2|Asthma symptoms wheeze", US_national_yearly!$D:$AM, 10, FALSE), 1)</f>
        <v>4.8786690063068905E-2</v>
      </c>
      <c r="D8" s="7">
        <f>$B8 * IFERROR(VLOOKUP("buildings|SO2|Asthma symptoms wheeze", US_national_yearly!$D:$AM, 12, FALSE) / VLOOKUP("buildings|SO2|Asthma symptoms wheeze", US_national_yearly!$D:$AM, 10, FALSE), 1)</f>
        <v>4.8786690063068905E-2</v>
      </c>
      <c r="E8" s="7">
        <f>$B8 * IFERROR(VLOOKUP("buildings|SO2|Asthma symptoms wheeze", US_national_yearly!$D:$AM, 13, FALSE) / VLOOKUP("buildings|SO2|Asthma symptoms wheeze", US_national_yearly!$D:$AM, 10, FALSE), 1)</f>
        <v>4.8786690063068905E-2</v>
      </c>
      <c r="F8" s="7">
        <f>$B8 * IFERROR(VLOOKUP("buildings|SO2|Asthma symptoms wheeze", US_national_yearly!$D:$AM, 14, FALSE) / VLOOKUP("buildings|SO2|Asthma symptoms wheeze", US_national_yearly!$D:$AM, 10, FALSE), 1)</f>
        <v>4.8786690063068905E-2</v>
      </c>
      <c r="G8" s="7">
        <f>$B8 * IFERROR(VLOOKUP("buildings|SO2|Asthma symptoms wheeze", US_national_yearly!$D:$AM, 15, FALSE) / VLOOKUP("buildings|SO2|Asthma symptoms wheeze", US_national_yearly!$D:$AM, 10, FALSE), 1)</f>
        <v>4.8786690063068905E-2</v>
      </c>
      <c r="H8" s="7">
        <f>$B8 * IFERROR(VLOOKUP("buildings|SO2|Asthma symptoms wheeze", US_national_yearly!$D:$AM, 16, FALSE) / VLOOKUP("buildings|SO2|Asthma symptoms wheeze", US_national_yearly!$D:$AM, 10, FALSE), 1)</f>
        <v>4.8786690063068905E-2</v>
      </c>
      <c r="I8" s="7">
        <f>$B8 * IFERROR(VLOOKUP("buildings|SO2|Asthma symptoms wheeze", US_national_yearly!$D:$AM, 17, FALSE) / VLOOKUP("buildings|SO2|Asthma symptoms wheeze", US_national_yearly!$D:$AM, 10, FALSE), 1)</f>
        <v>4.8786690063068905E-2</v>
      </c>
      <c r="J8" s="7">
        <f>$B8 * IFERROR(VLOOKUP("buildings|SO2|Asthma symptoms wheeze", US_national_yearly!$D:$AM, 18, FALSE) / VLOOKUP("buildings|SO2|Asthma symptoms wheeze", US_national_yearly!$D:$AM, 10, FALSE), 1)</f>
        <v>4.8786690063068905E-2</v>
      </c>
      <c r="K8" s="7">
        <f>$B8 * IFERROR(VLOOKUP("buildings|SO2|Asthma symptoms wheeze", US_national_yearly!$D:$AM, 19, FALSE) / VLOOKUP("buildings|SO2|Asthma symptoms wheeze", US_national_yearly!$D:$AM, 10, FALSE), 1)</f>
        <v>4.8786690063068905E-2</v>
      </c>
      <c r="L8" s="7">
        <f>$B8 * IFERROR(VLOOKUP("buildings|SO2|Asthma symptoms wheeze", US_national_yearly!$D:$AM, 20, FALSE) / VLOOKUP("buildings|SO2|Asthma symptoms wheeze", US_national_yearly!$D:$AM, 10, FALSE), 1)</f>
        <v>4.8786690063068905E-2</v>
      </c>
      <c r="M8" s="7">
        <f>$B8 * IFERROR(VLOOKUP("buildings|SO2|Asthma symptoms wheeze", US_national_yearly!$D:$AM, 21, FALSE) / VLOOKUP("buildings|SO2|Asthma symptoms wheeze", US_national_yearly!$D:$AM, 10, FALSE), 1)</f>
        <v>4.8786690063068905E-2</v>
      </c>
      <c r="N8" s="7">
        <f>$B8 * IFERROR(VLOOKUP("buildings|SO2|Asthma symptoms wheeze", US_national_yearly!$D:$AM, 22, FALSE) / VLOOKUP("buildings|SO2|Asthma symptoms wheeze", US_national_yearly!$D:$AM, 10, FALSE), 1)</f>
        <v>4.8786690063068905E-2</v>
      </c>
      <c r="O8" s="7">
        <f>$B8 * IFERROR(VLOOKUP("buildings|SO2|Asthma symptoms wheeze", US_national_yearly!$D:$AM, 23, FALSE) / VLOOKUP("buildings|SO2|Asthma symptoms wheeze", US_national_yearly!$D:$AM, 10, FALSE), 1)</f>
        <v>4.8786690063068905E-2</v>
      </c>
      <c r="P8" s="7">
        <f>$B8 * IFERROR(VLOOKUP("buildings|SO2|Asthma symptoms wheeze", US_national_yearly!$D:$AM, 24, FALSE) / VLOOKUP("buildings|SO2|Asthma symptoms wheeze", US_national_yearly!$D:$AM, 10, FALSE), 1)</f>
        <v>4.8786690063068905E-2</v>
      </c>
      <c r="Q8" s="7">
        <f>$B8 * IFERROR(VLOOKUP("buildings|SO2|Asthma symptoms wheeze", US_national_yearly!$D:$AM, 25, FALSE) / VLOOKUP("buildings|SO2|Asthma symptoms wheeze", US_national_yearly!$D:$AM, 10, FALSE), 1)</f>
        <v>4.8786690063068905E-2</v>
      </c>
      <c r="R8" s="7">
        <f>$B8 * IFERROR(VLOOKUP("buildings|SO2|Asthma symptoms wheeze", US_national_yearly!$D:$AM, 26, FALSE) / VLOOKUP("buildings|SO2|Asthma symptoms wheeze", US_national_yearly!$D:$AM, 10, FALSE), 1)</f>
        <v>4.8786690063068905E-2</v>
      </c>
      <c r="S8" s="7">
        <f>$B8 * IFERROR(VLOOKUP("buildings|SO2|Asthma symptoms wheeze", US_national_yearly!$D:$AM, 27, FALSE) / VLOOKUP("buildings|SO2|Asthma symptoms wheeze", US_national_yearly!$D:$AM, 10, FALSE), 1)</f>
        <v>4.8786690063068905E-2</v>
      </c>
      <c r="T8" s="7">
        <f>$B8 * IFERROR(VLOOKUP("buildings|SO2|Asthma symptoms wheeze", US_national_yearly!$D:$AM, 28, FALSE) / VLOOKUP("buildings|SO2|Asthma symptoms wheeze", US_national_yearly!$D:$AM, 10, FALSE), 1)</f>
        <v>4.8786690063068905E-2</v>
      </c>
      <c r="U8" s="7">
        <f>$B8 * IFERROR(VLOOKUP("buildings|SO2|Asthma symptoms wheeze", US_national_yearly!$D:$AM, 29, FALSE) / VLOOKUP("buildings|SO2|Asthma symptoms wheeze", US_national_yearly!$D:$AM, 10, FALSE), 1)</f>
        <v>4.8786690063068905E-2</v>
      </c>
      <c r="V8" s="7">
        <f>$B8 * IFERROR(VLOOKUP("buildings|SO2|Asthma symptoms wheeze", US_national_yearly!$D:$AM, 30, FALSE) / VLOOKUP("buildings|SO2|Asthma symptoms wheeze", US_national_yearly!$D:$AM, 10, FALSE), 1)</f>
        <v>4.8786690063068905E-2</v>
      </c>
      <c r="W8" s="7">
        <f>$B8 * IFERROR(VLOOKUP("buildings|SO2|Asthma symptoms wheeze", US_national_yearly!$D:$AM, 31, FALSE) / VLOOKUP("buildings|SO2|Asthma symptoms wheeze", US_national_yearly!$D:$AM, 10, FALSE), 1)</f>
        <v>4.8786690063068905E-2</v>
      </c>
      <c r="X8" s="7">
        <f>$B8 * IFERROR(VLOOKUP("buildings|SO2|Asthma symptoms wheeze", US_national_yearly!$D:$AM, 32, FALSE) / VLOOKUP("buildings|SO2|Asthma symptoms wheeze", US_national_yearly!$D:$AM, 10, FALSE), 1)</f>
        <v>4.8786690063068905E-2</v>
      </c>
      <c r="Y8" s="7">
        <f>$B8 * IFERROR(VLOOKUP("buildings|SO2|Asthma symptoms wheeze", US_national_yearly!$D:$AM, 33, FALSE) / VLOOKUP("buildings|SO2|Asthma symptoms wheeze", US_national_yearly!$D:$AM, 10, FALSE), 1)</f>
        <v>4.8786690063068905E-2</v>
      </c>
      <c r="Z8" s="7">
        <f>$B8 * IFERROR(VLOOKUP("buildings|SO2|Asthma symptoms wheeze", US_national_yearly!$D:$AM, 34, FALSE) / VLOOKUP("buildings|SO2|Asthma symptoms wheeze", US_national_yearly!$D:$AM, 10, FALSE), 1)</f>
        <v>4.8786690063068905E-2</v>
      </c>
      <c r="AA8" s="7">
        <f>$B8 * IFERROR(VLOOKUP("buildings|SO2|Asthma symptoms wheeze", US_national_yearly!$D:$AM, 35, FALSE) / VLOOKUP("buildings|SO2|Asthma symptoms wheeze", US_national_yearly!$D:$AM, 10, FALSE), 1)</f>
        <v>4.8786690063068905E-2</v>
      </c>
      <c r="AB8" s="7">
        <f>$B8 * IFERROR(VLOOKUP("buildings|SO2|Asthma symptoms wheeze", US_national_yearly!$D:$AM, 36, FALSE) / VLOOKUP("buildings|SO2|Asthma symptoms wheeze", US_national_yearly!$D:$AM, 10, FALSE), 1)</f>
        <v>4.8786690063068905E-2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6.4608553963798753E-4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6.4990156829897281E-4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6.5371759695995808E-4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6.5753362562094336E-4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6.6134965428192843E-4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6.6550864475621639E-4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6.6966763523050436E-4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6.7376054067789463E-4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6.7785344612528511E-4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6.8194635157267549E-4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6.8603925702006576E-4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6.9013216246745625E-4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6.9312066098669016E-4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6.9610915950592419E-4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6.9909765802515821E-4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7.0208615654439213E-4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7.0507465506362615E-4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7.0792422348156894E-4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7.1077379189951205E-4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7.1362336031745484E-4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7.1647292873539773E-4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7.1932249715334073E-4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7.220303306419444E-4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7.2473816413054818E-4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7.2744599761915185E-4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7.3015383110775552E-4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7.328616645963593E-4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3.9898592560042136E-3</v>
      </c>
      <c r="C13" s="7">
        <f>$B13 * IFERROR(VLOOKUP("buildings|SO2|Non-fatal heart attacks", US_national_yearly!$D:$AM, 11, FALSE) / VLOOKUP("buildings|SO2|Non-fatal heart attacks", US_national_yearly!$D:$AM, 10, FALSE), 1)</f>
        <v>4.1070249000644985E-3</v>
      </c>
      <c r="D13" s="7">
        <f>$B13 * IFERROR(VLOOKUP("buildings|SO2|Non-fatal heart attacks", US_national_yearly!$D:$AM, 12, FALSE) / VLOOKUP("buildings|SO2|Non-fatal heart attacks", US_national_yearly!$D:$AM, 10, FALSE), 1)</f>
        <v>4.2241905441247826E-3</v>
      </c>
      <c r="E13" s="7">
        <f>$B13 * IFERROR(VLOOKUP("buildings|SO2|Non-fatal heart attacks", US_national_yearly!$D:$AM, 13, FALSE) / VLOOKUP("buildings|SO2|Non-fatal heart attacks", US_national_yearly!$D:$AM, 10, FALSE), 1)</f>
        <v>4.3413561881850667E-3</v>
      </c>
      <c r="F13" s="7">
        <f>$B13 * IFERROR(VLOOKUP("buildings|SO2|Non-fatal heart attacks", US_national_yearly!$D:$AM, 14, FALSE) / VLOOKUP("buildings|SO2|Non-fatal heart attacks", US_national_yearly!$D:$AM, 10, FALSE), 1)</f>
        <v>4.4585218322453516E-3</v>
      </c>
      <c r="G13" s="7">
        <f>$B13 * IFERROR(VLOOKUP("buildings|SO2|Non-fatal heart attacks", US_national_yearly!$D:$AM, 15, FALSE) / VLOOKUP("buildings|SO2|Non-fatal heart attacks", US_national_yearly!$D:$AM, 10, FALSE), 1)</f>
        <v>4.5690279311035005E-3</v>
      </c>
      <c r="H13" s="7">
        <f>$B13 * IFERROR(VLOOKUP("buildings|SO2|Non-fatal heart attacks", US_national_yearly!$D:$AM, 16, FALSE) / VLOOKUP("buildings|SO2|Non-fatal heart attacks", US_national_yearly!$D:$AM, 10, FALSE), 1)</f>
        <v>4.6795340299616503E-3</v>
      </c>
      <c r="I13" s="7">
        <f>$B13 * IFERROR(VLOOKUP("buildings|SO2|Non-fatal heart attacks", US_national_yearly!$D:$AM, 17, FALSE) / VLOOKUP("buildings|SO2|Non-fatal heart attacks", US_national_yearly!$D:$AM, 10, FALSE), 1)</f>
        <v>4.7684841147816598E-3</v>
      </c>
      <c r="J13" s="7">
        <f>$B13 * IFERROR(VLOOKUP("buildings|SO2|Non-fatal heart attacks", US_national_yearly!$D:$AM, 18, FALSE) / VLOOKUP("buildings|SO2|Non-fatal heart attacks", US_national_yearly!$D:$AM, 10, FALSE), 1)</f>
        <v>4.8574341996016693E-3</v>
      </c>
      <c r="K13" s="7">
        <f>$B13 * IFERROR(VLOOKUP("buildings|SO2|Non-fatal heart attacks", US_national_yearly!$D:$AM, 19, FALSE) / VLOOKUP("buildings|SO2|Non-fatal heart attacks", US_national_yearly!$D:$AM, 10, FALSE), 1)</f>
        <v>4.9463842844216788E-3</v>
      </c>
      <c r="L13" s="7">
        <f>$B13 * IFERROR(VLOOKUP("buildings|SO2|Non-fatal heart attacks", US_national_yearly!$D:$AM, 20, FALSE) / VLOOKUP("buildings|SO2|Non-fatal heart attacks", US_national_yearly!$D:$AM, 10, FALSE), 1)</f>
        <v>5.0353343692416891E-3</v>
      </c>
      <c r="M13" s="7">
        <f>$B13 * IFERROR(VLOOKUP("buildings|SO2|Non-fatal heart attacks", US_national_yearly!$D:$AM, 21, FALSE) / VLOOKUP("buildings|SO2|Non-fatal heart attacks", US_national_yearly!$D:$AM, 10, FALSE), 1)</f>
        <v>5.1242844540616995E-3</v>
      </c>
      <c r="N13" s="7">
        <f>$B13 * IFERROR(VLOOKUP("buildings|SO2|Non-fatal heart attacks", US_national_yearly!$D:$AM, 22, FALSE) / VLOOKUP("buildings|SO2|Non-fatal heart attacks", US_national_yearly!$D:$AM, 10, FALSE), 1)</f>
        <v>5.1820171940289176E-3</v>
      </c>
      <c r="O13" s="7">
        <f>$B13 * IFERROR(VLOOKUP("buildings|SO2|Non-fatal heart attacks", US_national_yearly!$D:$AM, 23, FALSE) / VLOOKUP("buildings|SO2|Non-fatal heart attacks", US_national_yearly!$D:$AM, 10, FALSE), 1)</f>
        <v>5.2397499339961367E-3</v>
      </c>
      <c r="P13" s="7">
        <f>$B13 * IFERROR(VLOOKUP("buildings|SO2|Non-fatal heart attacks", US_national_yearly!$D:$AM, 24, FALSE) / VLOOKUP("buildings|SO2|Non-fatal heart attacks", US_national_yearly!$D:$AM, 10, FALSE), 1)</f>
        <v>5.2974826739633548E-3</v>
      </c>
      <c r="Q13" s="7">
        <f>$B13 * IFERROR(VLOOKUP("buildings|SO2|Non-fatal heart attacks", US_national_yearly!$D:$AM, 25, FALSE) / VLOOKUP("buildings|SO2|Non-fatal heart attacks", US_national_yearly!$D:$AM, 10, FALSE), 1)</f>
        <v>5.355215413930573E-3</v>
      </c>
      <c r="R13" s="7">
        <f>$B13 * IFERROR(VLOOKUP("buildings|SO2|Non-fatal heart attacks", US_national_yearly!$D:$AM, 26, FALSE) / VLOOKUP("buildings|SO2|Non-fatal heart attacks", US_national_yearly!$D:$AM, 10, FALSE), 1)</f>
        <v>5.412948153897792E-3</v>
      </c>
      <c r="S13" s="7">
        <f>$B13 * IFERROR(VLOOKUP("buildings|SO2|Non-fatal heart attacks", US_national_yearly!$D:$AM, 27, FALSE) / VLOOKUP("buildings|SO2|Non-fatal heart attacks", US_national_yearly!$D:$AM, 10, FALSE), 1)</f>
        <v>5.4430960961784243E-3</v>
      </c>
      <c r="T13" s="7">
        <f>$B13 * IFERROR(VLOOKUP("buildings|SO2|Non-fatal heart attacks", US_national_yearly!$D:$AM, 28, FALSE) / VLOOKUP("buildings|SO2|Non-fatal heart attacks", US_national_yearly!$D:$AM, 10, FALSE), 1)</f>
        <v>5.4732440384590566E-3</v>
      </c>
      <c r="U13" s="7">
        <f>$B13 * IFERROR(VLOOKUP("buildings|SO2|Non-fatal heart attacks", US_national_yearly!$D:$AM, 29, FALSE) / VLOOKUP("buildings|SO2|Non-fatal heart attacks", US_national_yearly!$D:$AM, 10, FALSE), 1)</f>
        <v>5.5033919807396872E-3</v>
      </c>
      <c r="V13" s="7">
        <f>$B13 * IFERROR(VLOOKUP("buildings|SO2|Non-fatal heart attacks", US_national_yearly!$D:$AM, 30, FALSE) / VLOOKUP("buildings|SO2|Non-fatal heart attacks", US_national_yearly!$D:$AM, 10, FALSE), 1)</f>
        <v>5.5335399230203195E-3</v>
      </c>
      <c r="W13" s="7">
        <f>$B13 * IFERROR(VLOOKUP("buildings|SO2|Non-fatal heart attacks", US_national_yearly!$D:$AM, 31, FALSE) / VLOOKUP("buildings|SO2|Non-fatal heart attacks", US_national_yearly!$D:$AM, 10, FALSE), 1)</f>
        <v>5.563687865300951E-3</v>
      </c>
      <c r="X13" s="7">
        <f>$B13 * IFERROR(VLOOKUP("buildings|SO2|Non-fatal heart attacks", US_national_yearly!$D:$AM, 32, FALSE) / VLOOKUP("buildings|SO2|Non-fatal heart attacks", US_national_yearly!$D:$AM, 10, FALSE), 1)</f>
        <v>5.5864578052106746E-3</v>
      </c>
      <c r="Y13" s="7">
        <f>$B13 * IFERROR(VLOOKUP("buildings|SO2|Non-fatal heart attacks", US_national_yearly!$D:$AM, 33, FALSE) / VLOOKUP("buildings|SO2|Non-fatal heart attacks", US_national_yearly!$D:$AM, 10, FALSE), 1)</f>
        <v>5.6092277451203982E-3</v>
      </c>
      <c r="Z13" s="7">
        <f>$B13 * IFERROR(VLOOKUP("buildings|SO2|Non-fatal heart attacks", US_national_yearly!$D:$AM, 34, FALSE) / VLOOKUP("buildings|SO2|Non-fatal heart attacks", US_national_yearly!$D:$AM, 10, FALSE), 1)</f>
        <v>5.6319976850301191E-3</v>
      </c>
      <c r="AA13" s="7">
        <f>$B13 * IFERROR(VLOOKUP("buildings|SO2|Non-fatal heart attacks", US_national_yearly!$D:$AM, 35, FALSE) / VLOOKUP("buildings|SO2|Non-fatal heart attacks", US_national_yearly!$D:$AM, 10, FALSE), 1)</f>
        <v>5.6547676249398427E-3</v>
      </c>
      <c r="AB13" s="7">
        <f>$B13 * IFERROR(VLOOKUP("buildings|SO2|Non-fatal heart attacks", US_national_yearly!$D:$AM, 36, FALSE) / VLOOKUP("buildings|SO2|Non-fatal heart attacks", US_national_yearly!$D:$AM, 10, FALSE), 1)</f>
        <v>5.6775375648495654E-3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3.3421113445584885</v>
      </c>
      <c r="C14" s="7">
        <f>$B14 * IFERROR(VLOOKUP("buildings|SO2|Minor restricted activity days", US_national_yearly!$D:$AM, 11, FALSE) / VLOOKUP("buildings|SO2|Minor restricted activity days", US_national_yearly!$D:$AM, 10, FALSE), 1)</f>
        <v>3.3505717233705514</v>
      </c>
      <c r="D14" s="7">
        <f>$B14 * IFERROR(VLOOKUP("buildings|SO2|Minor restricted activity days", US_national_yearly!$D:$AM, 12, FALSE) / VLOOKUP("buildings|SO2|Minor restricted activity days", US_national_yearly!$D:$AM, 10, FALSE), 1)</f>
        <v>3.3590321021826148</v>
      </c>
      <c r="E14" s="7">
        <f>$B14 * IFERROR(VLOOKUP("buildings|SO2|Minor restricted activity days", US_national_yearly!$D:$AM, 13, FALSE) / VLOOKUP("buildings|SO2|Minor restricted activity days", US_national_yearly!$D:$AM, 10, FALSE), 1)</f>
        <v>3.3674924809946782</v>
      </c>
      <c r="F14" s="7">
        <f>$B14 * IFERROR(VLOOKUP("buildings|SO2|Minor restricted activity days", US_national_yearly!$D:$AM, 14, FALSE) / VLOOKUP("buildings|SO2|Minor restricted activity days", US_national_yearly!$D:$AM, 10, FALSE), 1)</f>
        <v>3.3759528598067412</v>
      </c>
      <c r="G14" s="7">
        <f>$B14 * IFERROR(VLOOKUP("buildings|SO2|Minor restricted activity days", US_national_yearly!$D:$AM, 15, FALSE) / VLOOKUP("buildings|SO2|Minor restricted activity days", US_national_yearly!$D:$AM, 10, FALSE), 1)</f>
        <v>3.3883929688644234</v>
      </c>
      <c r="H14" s="7">
        <f>$B14 * IFERROR(VLOOKUP("buildings|SO2|Minor restricted activity days", US_national_yearly!$D:$AM, 16, FALSE) / VLOOKUP("buildings|SO2|Minor restricted activity days", US_national_yearly!$D:$AM, 10, FALSE), 1)</f>
        <v>3.4008330779221061</v>
      </c>
      <c r="I14" s="7">
        <f>$B14 * IFERROR(VLOOKUP("buildings|SO2|Minor restricted activity days", US_national_yearly!$D:$AM, 17, FALSE) / VLOOKUP("buildings|SO2|Minor restricted activity days", US_national_yearly!$D:$AM, 10, FALSE), 1)</f>
        <v>3.4220198355648339</v>
      </c>
      <c r="J14" s="7">
        <f>$B14 * IFERROR(VLOOKUP("buildings|SO2|Minor restricted activity days", US_national_yearly!$D:$AM, 18, FALSE) / VLOOKUP("buildings|SO2|Minor restricted activity days", US_national_yearly!$D:$AM, 10, FALSE), 1)</f>
        <v>3.4432065932075622</v>
      </c>
      <c r="K14" s="7">
        <f>$B14 * IFERROR(VLOOKUP("buildings|SO2|Minor restricted activity days", US_national_yearly!$D:$AM, 19, FALSE) / VLOOKUP("buildings|SO2|Minor restricted activity days", US_national_yearly!$D:$AM, 10, FALSE), 1)</f>
        <v>3.4643933508502895</v>
      </c>
      <c r="L14" s="7">
        <f>$B14 * IFERROR(VLOOKUP("buildings|SO2|Minor restricted activity days", US_national_yearly!$D:$AM, 20, FALSE) / VLOOKUP("buildings|SO2|Minor restricted activity days", US_national_yearly!$D:$AM, 10, FALSE), 1)</f>
        <v>3.4855801084930174</v>
      </c>
      <c r="M14" s="7">
        <f>$B14 * IFERROR(VLOOKUP("buildings|SO2|Minor restricted activity days", US_national_yearly!$D:$AM, 21, FALSE) / VLOOKUP("buildings|SO2|Minor restricted activity days", US_national_yearly!$D:$AM, 10, FALSE), 1)</f>
        <v>3.5067668661357447</v>
      </c>
      <c r="N14" s="7">
        <f>$B14 * IFERROR(VLOOKUP("buildings|SO2|Minor restricted activity days", US_national_yearly!$D:$AM, 22, FALSE) / VLOOKUP("buildings|SO2|Minor restricted activity days", US_national_yearly!$D:$AM, 10, FALSE), 1)</f>
        <v>3.5357386438652658</v>
      </c>
      <c r="O14" s="7">
        <f>$B14 * IFERROR(VLOOKUP("buildings|SO2|Minor restricted activity days", US_national_yearly!$D:$AM, 23, FALSE) / VLOOKUP("buildings|SO2|Minor restricted activity days", US_national_yearly!$D:$AM, 10, FALSE), 1)</f>
        <v>3.5647104215947865</v>
      </c>
      <c r="P14" s="7">
        <f>$B14 * IFERROR(VLOOKUP("buildings|SO2|Minor restricted activity days", US_national_yearly!$D:$AM, 24, FALSE) / VLOOKUP("buildings|SO2|Minor restricted activity days", US_national_yearly!$D:$AM, 10, FALSE), 1)</f>
        <v>3.5936821993243067</v>
      </c>
      <c r="Q14" s="7">
        <f>$B14 * IFERROR(VLOOKUP("buildings|SO2|Minor restricted activity days", US_national_yearly!$D:$AM, 25, FALSE) / VLOOKUP("buildings|SO2|Minor restricted activity days", US_national_yearly!$D:$AM, 10, FALSE), 1)</f>
        <v>3.6226539770538277</v>
      </c>
      <c r="R14" s="7">
        <f>$B14 * IFERROR(VLOOKUP("buildings|SO2|Minor restricted activity days", US_national_yearly!$D:$AM, 26, FALSE) / VLOOKUP("buildings|SO2|Minor restricted activity days", US_national_yearly!$D:$AM, 10, FALSE), 1)</f>
        <v>3.6516257547833484</v>
      </c>
      <c r="S14" s="7">
        <f>$B14 * IFERROR(VLOOKUP("buildings|SO2|Minor restricted activity days", US_national_yearly!$D:$AM, 27, FALSE) / VLOOKUP("buildings|SO2|Minor restricted activity days", US_national_yearly!$D:$AM, 10, FALSE), 1)</f>
        <v>3.6811606012805251</v>
      </c>
      <c r="T14" s="7">
        <f>$B14 * IFERROR(VLOOKUP("buildings|SO2|Minor restricted activity days", US_national_yearly!$D:$AM, 28, FALSE) / VLOOKUP("buildings|SO2|Minor restricted activity days", US_national_yearly!$D:$AM, 10, FALSE), 1)</f>
        <v>3.7106954477777019</v>
      </c>
      <c r="U14" s="7">
        <f>$B14 * IFERROR(VLOOKUP("buildings|SO2|Minor restricted activity days", US_national_yearly!$D:$AM, 29, FALSE) / VLOOKUP("buildings|SO2|Minor restricted activity days", US_national_yearly!$D:$AM, 10, FALSE), 1)</f>
        <v>3.7402302942748786</v>
      </c>
      <c r="V14" s="7">
        <f>$B14 * IFERROR(VLOOKUP("buildings|SO2|Minor restricted activity days", US_national_yearly!$D:$AM, 30, FALSE) / VLOOKUP("buildings|SO2|Minor restricted activity days", US_national_yearly!$D:$AM, 10, FALSE), 1)</f>
        <v>3.7697651407720554</v>
      </c>
      <c r="W14" s="7">
        <f>$B14 * IFERROR(VLOOKUP("buildings|SO2|Minor restricted activity days", US_national_yearly!$D:$AM, 31, FALSE) / VLOOKUP("buildings|SO2|Minor restricted activity days", US_national_yearly!$D:$AM, 10, FALSE), 1)</f>
        <v>3.7992999872692326</v>
      </c>
      <c r="X14" s="7">
        <f>$B14 * IFERROR(VLOOKUP("buildings|SO2|Minor restricted activity days", US_national_yearly!$D:$AM, 32, FALSE) / VLOOKUP("buildings|SO2|Minor restricted activity days", US_national_yearly!$D:$AM, 10, FALSE), 1)</f>
        <v>3.8252741755531581</v>
      </c>
      <c r="Y14" s="7">
        <f>$B14 * IFERROR(VLOOKUP("buildings|SO2|Minor restricted activity days", US_national_yearly!$D:$AM, 33, FALSE) / VLOOKUP("buildings|SO2|Minor restricted activity days", US_national_yearly!$D:$AM, 10, FALSE), 1)</f>
        <v>3.8512483638370845</v>
      </c>
      <c r="Z14" s="7">
        <f>$B14 * IFERROR(VLOOKUP("buildings|SO2|Minor restricted activity days", US_national_yearly!$D:$AM, 34, FALSE) / VLOOKUP("buildings|SO2|Minor restricted activity days", US_national_yearly!$D:$AM, 10, FALSE), 1)</f>
        <v>3.87722255212101</v>
      </c>
      <c r="AA14" s="7">
        <f>$B14 * IFERROR(VLOOKUP("buildings|SO2|Minor restricted activity days", US_national_yearly!$D:$AM, 35, FALSE) / VLOOKUP("buildings|SO2|Minor restricted activity days", US_national_yearly!$D:$AM, 10, FALSE), 1)</f>
        <v>3.9031967404049359</v>
      </c>
      <c r="AB14" s="7">
        <f>$B14 * IFERROR(VLOOKUP("buildings|SO2|Minor restricted activity days", US_national_yearly!$D:$AM, 36, FALSE) / VLOOKUP("buildings|SO2|Minor restricted activity days", US_national_yearly!$D:$AM, 10, FALSE), 1)</f>
        <v>3.9291709286888614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0.57127270657318208</v>
      </c>
      <c r="C15" s="7">
        <f>$B15 * IFERROR(VLOOKUP("buildings|SO2|Work loss days", US_national_yearly!$D:$AM, 11, FALSE) / VLOOKUP("buildings|SO2|Work loss days", US_national_yearly!$D:$AM, 10, FALSE), 1)</f>
        <v>0.57312876229347687</v>
      </c>
      <c r="D15" s="7">
        <f>$B15 * IFERROR(VLOOKUP("buildings|SO2|Work loss days", US_national_yearly!$D:$AM, 12, FALSE) / VLOOKUP("buildings|SO2|Work loss days", US_national_yearly!$D:$AM, 10, FALSE), 1)</f>
        <v>0.57498481801377166</v>
      </c>
      <c r="E15" s="7">
        <f>$B15 * IFERROR(VLOOKUP("buildings|SO2|Work loss days", US_national_yearly!$D:$AM, 13, FALSE) / VLOOKUP("buildings|SO2|Work loss days", US_national_yearly!$D:$AM, 10, FALSE), 1)</f>
        <v>0.57684087373406656</v>
      </c>
      <c r="F15" s="7">
        <f>$B15 * IFERROR(VLOOKUP("buildings|SO2|Work loss days", US_national_yearly!$D:$AM, 14, FALSE) / VLOOKUP("buildings|SO2|Work loss days", US_national_yearly!$D:$AM, 10, FALSE), 1)</f>
        <v>0.57869692945436124</v>
      </c>
      <c r="G15" s="7">
        <f>$B15 * IFERROR(VLOOKUP("buildings|SO2|Work loss days", US_national_yearly!$D:$AM, 15, FALSE) / VLOOKUP("buildings|SO2|Work loss days", US_national_yearly!$D:$AM, 10, FALSE), 1)</f>
        <v>0.58112104093663031</v>
      </c>
      <c r="H15" s="7">
        <f>$B15 * IFERROR(VLOOKUP("buildings|SO2|Work loss days", US_national_yearly!$D:$AM, 16, FALSE) / VLOOKUP("buildings|SO2|Work loss days", US_national_yearly!$D:$AM, 10, FALSE), 1)</f>
        <v>0.58354515241889948</v>
      </c>
      <c r="I15" s="7">
        <f>$B15 * IFERROR(VLOOKUP("buildings|SO2|Work loss days", US_national_yearly!$D:$AM, 17, FALSE) / VLOOKUP("buildings|SO2|Work loss days", US_national_yearly!$D:$AM, 10, FALSE), 1)</f>
        <v>0.58708933908874772</v>
      </c>
      <c r="J15" s="7">
        <f>$B15 * IFERROR(VLOOKUP("buildings|SO2|Work loss days", US_national_yearly!$D:$AM, 18, FALSE) / VLOOKUP("buildings|SO2|Work loss days", US_national_yearly!$D:$AM, 10, FALSE), 1)</f>
        <v>0.59063352575859596</v>
      </c>
      <c r="K15" s="7">
        <f>$B15 * IFERROR(VLOOKUP("buildings|SO2|Work loss days", US_national_yearly!$D:$AM, 19, FALSE) / VLOOKUP("buildings|SO2|Work loss days", US_national_yearly!$D:$AM, 10, FALSE), 1)</f>
        <v>0.59417771242844419</v>
      </c>
      <c r="L15" s="7">
        <f>$B15 * IFERROR(VLOOKUP("buildings|SO2|Work loss days", US_national_yearly!$D:$AM, 20, FALSE) / VLOOKUP("buildings|SO2|Work loss days", US_national_yearly!$D:$AM, 10, FALSE), 1)</f>
        <v>0.59772189909829243</v>
      </c>
      <c r="M15" s="7">
        <f>$B15 * IFERROR(VLOOKUP("buildings|SO2|Work loss days", US_national_yearly!$D:$AM, 21, FALSE) / VLOOKUP("buildings|SO2|Work loss days", US_national_yearly!$D:$AM, 10, FALSE), 1)</f>
        <v>0.60126608576814056</v>
      </c>
      <c r="N15" s="7">
        <f>$B15 * IFERROR(VLOOKUP("buildings|SO2|Work loss days", US_national_yearly!$D:$AM, 22, FALSE) / VLOOKUP("buildings|SO2|Work loss days", US_national_yearly!$D:$AM, 10, FALSE), 1)</f>
        <v>0.60571043779379774</v>
      </c>
      <c r="O15" s="7">
        <f>$B15 * IFERROR(VLOOKUP("buildings|SO2|Work loss days", US_national_yearly!$D:$AM, 23, FALSE) / VLOOKUP("buildings|SO2|Work loss days", US_national_yearly!$D:$AM, 10, FALSE), 1)</f>
        <v>0.6101547898194547</v>
      </c>
      <c r="P15" s="7">
        <f>$B15 * IFERROR(VLOOKUP("buildings|SO2|Work loss days", US_national_yearly!$D:$AM, 24, FALSE) / VLOOKUP("buildings|SO2|Work loss days", US_national_yearly!$D:$AM, 10, FALSE), 1)</f>
        <v>0.61459914184511166</v>
      </c>
      <c r="Q15" s="7">
        <f>$B15 * IFERROR(VLOOKUP("buildings|SO2|Work loss days", US_national_yearly!$D:$AM, 25, FALSE) / VLOOKUP("buildings|SO2|Work loss days", US_national_yearly!$D:$AM, 10, FALSE), 1)</f>
        <v>0.61904349387076885</v>
      </c>
      <c r="R15" s="7">
        <f>$B15 * IFERROR(VLOOKUP("buildings|SO2|Work loss days", US_national_yearly!$D:$AM, 26, FALSE) / VLOOKUP("buildings|SO2|Work loss days", US_national_yearly!$D:$AM, 10, FALSE), 1)</f>
        <v>0.6234878458964257</v>
      </c>
      <c r="S15" s="7">
        <f>$B15 * IFERROR(VLOOKUP("buildings|SO2|Work loss days", US_national_yearly!$D:$AM, 27, FALSE) / VLOOKUP("buildings|SO2|Work loss days", US_national_yearly!$D:$AM, 10, FALSE), 1)</f>
        <v>0.62845257640998986</v>
      </c>
      <c r="T15" s="7">
        <f>$B15 * IFERROR(VLOOKUP("buildings|SO2|Work loss days", US_national_yearly!$D:$AM, 28, FALSE) / VLOOKUP("buildings|SO2|Work loss days", US_national_yearly!$D:$AM, 10, FALSE), 1)</f>
        <v>0.63341730692355391</v>
      </c>
      <c r="U15" s="7">
        <f>$B15 * IFERROR(VLOOKUP("buildings|SO2|Work loss days", US_national_yearly!$D:$AM, 29, FALSE) / VLOOKUP("buildings|SO2|Work loss days", US_national_yearly!$D:$AM, 10, FALSE), 1)</f>
        <v>0.63838203743711808</v>
      </c>
      <c r="V15" s="7">
        <f>$B15 * IFERROR(VLOOKUP("buildings|SO2|Work loss days", US_national_yearly!$D:$AM, 30, FALSE) / VLOOKUP("buildings|SO2|Work loss days", US_national_yearly!$D:$AM, 10, FALSE), 1)</f>
        <v>0.64334676795068202</v>
      </c>
      <c r="W15" s="7">
        <f>$B15 * IFERROR(VLOOKUP("buildings|SO2|Work loss days", US_national_yearly!$D:$AM, 31, FALSE) / VLOOKUP("buildings|SO2|Work loss days", US_national_yearly!$D:$AM, 10, FALSE), 1)</f>
        <v>0.64831149846424618</v>
      </c>
      <c r="X15" s="7">
        <f>$B15 * IFERROR(VLOOKUP("buildings|SO2|Work loss days", US_national_yearly!$D:$AM, 32, FALSE) / VLOOKUP("buildings|SO2|Work loss days", US_national_yearly!$D:$AM, 10, FALSE), 1)</f>
        <v>0.65276924125303215</v>
      </c>
      <c r="Y15" s="7">
        <f>$B15 * IFERROR(VLOOKUP("buildings|SO2|Work loss days", US_national_yearly!$D:$AM, 33, FALSE) / VLOOKUP("buildings|SO2|Work loss days", US_national_yearly!$D:$AM, 10, FALSE), 1)</f>
        <v>0.65722698404181812</v>
      </c>
      <c r="Z15" s="7">
        <f>$B15 * IFERROR(VLOOKUP("buildings|SO2|Work loss days", US_national_yearly!$D:$AM, 34, FALSE) / VLOOKUP("buildings|SO2|Work loss days", US_national_yearly!$D:$AM, 10, FALSE), 1)</f>
        <v>0.66168472683060398</v>
      </c>
      <c r="AA15" s="7">
        <f>$B15 * IFERROR(VLOOKUP("buildings|SO2|Work loss days", US_national_yearly!$D:$AM, 35, FALSE) / VLOOKUP("buildings|SO2|Work loss days", US_national_yearly!$D:$AM, 10, FALSE), 1)</f>
        <v>0.66614246961939005</v>
      </c>
      <c r="AB15" s="7">
        <f>$B15 * IFERROR(VLOOKUP("buildings|SO2|Work loss days", US_national_yearly!$D:$AM, 36, FALSE) / VLOOKUP("buildings|SO2|Work loss days", US_national_yearly!$D:$AM, 10, FALSE), 1)</f>
        <v>0.67060021240817591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9.4872536247071315E-4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9.7742369607383838E-4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1.0061220296769637E-3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1.0348203632800893E-3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1.0635186968832144E-3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1.0910099814819356E-3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1.1185012660806567E-3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1.1420612416012835E-3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1.16562121712191E-3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1.1891811926425368E-3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1.2127411681631633E-3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1.2363011436837899E-3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1.2521211950777776E-3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1.2679412464717654E-3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1.2837612978657531E-3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1.2995813492597407E-3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1.3154014006537282E-3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1.3237208314876654E-3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1.3320402623216024E-3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1.3403596931555392E-3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1.3486791239894764E-3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1.3569985548234132E-3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1.3625850713308385E-3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1.3681715878382638E-3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1.3737581043456889E-3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1.3793446208531144E-3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1.3849311373605394E-3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5.9046468837352144E-2</v>
      </c>
      <c r="C2" s="7">
        <f>$B2 * IFERROR(VLOOKUP("industry|PM25|Premature mortality", US_national_yearly!$D:$AM, 11, FALSE) / VLOOKUP("industry|PM25|Premature mortality", US_national_yearly!$D:$AM, 10, FALSE), 1)</f>
        <v>5.9781790332005376E-2</v>
      </c>
      <c r="D2" s="7">
        <f>$B2 * IFERROR(VLOOKUP("industry|PM25|Premature mortality", US_national_yearly!$D:$AM, 12, FALSE) / VLOOKUP("industry|PM25|Premature mortality", US_national_yearly!$D:$AM, 10, FALSE), 1)</f>
        <v>6.0517111826658594E-2</v>
      </c>
      <c r="E2" s="7">
        <f>$B2 * IFERROR(VLOOKUP("industry|PM25|Premature mortality", US_national_yearly!$D:$AM, 13, FALSE) / VLOOKUP("industry|PM25|Premature mortality", US_national_yearly!$D:$AM, 10, FALSE), 1)</f>
        <v>6.1252433321311833E-2</v>
      </c>
      <c r="F2" s="7">
        <f>$B2 * IFERROR(VLOOKUP("industry|PM25|Premature mortality", US_national_yearly!$D:$AM, 14, FALSE) / VLOOKUP("industry|PM25|Premature mortality", US_national_yearly!$D:$AM, 10, FALSE), 1)</f>
        <v>6.1987754815965052E-2</v>
      </c>
      <c r="G2" s="7">
        <f>$B2 * IFERROR(VLOOKUP("industry|PM25|Premature mortality", US_national_yearly!$D:$AM, 15, FALSE) / VLOOKUP("industry|PM25|Premature mortality", US_national_yearly!$D:$AM, 10, FALSE), 1)</f>
        <v>6.3418311362470753E-2</v>
      </c>
      <c r="H2" s="7">
        <f>$B2 * IFERROR(VLOOKUP("industry|PM25|Premature mortality", US_national_yearly!$D:$AM, 16, FALSE) / VLOOKUP("industry|PM25|Premature mortality", US_national_yearly!$D:$AM, 10, FALSE), 1)</f>
        <v>6.4848867908976454E-2</v>
      </c>
      <c r="I2" s="7">
        <f>$B2 * IFERROR(VLOOKUP("industry|PM25|Premature mortality", US_national_yearly!$D:$AM, 17, FALSE) / VLOOKUP("industry|PM25|Premature mortality", US_national_yearly!$D:$AM, 10, FALSE), 1)</f>
        <v>6.5793459641000862E-2</v>
      </c>
      <c r="J2" s="7">
        <f>$B2 * IFERROR(VLOOKUP("industry|PM25|Premature mortality", US_national_yearly!$D:$AM, 18, FALSE) / VLOOKUP("industry|PM25|Premature mortality", US_national_yearly!$D:$AM, 10, FALSE), 1)</f>
        <v>6.6738051373025256E-2</v>
      </c>
      <c r="K2" s="7">
        <f>$B2 * IFERROR(VLOOKUP("industry|PM25|Premature mortality", US_national_yearly!$D:$AM, 19, FALSE) / VLOOKUP("industry|PM25|Premature mortality", US_national_yearly!$D:$AM, 10, FALSE), 1)</f>
        <v>6.7682643105049636E-2</v>
      </c>
      <c r="L2" s="7">
        <f>$B2 * IFERROR(VLOOKUP("industry|PM25|Premature mortality", US_national_yearly!$D:$AM, 20, FALSE) / VLOOKUP("industry|PM25|Premature mortality", US_national_yearly!$D:$AM, 10, FALSE), 1)</f>
        <v>6.862723483707403E-2</v>
      </c>
      <c r="M2" s="7">
        <f>$B2 * IFERROR(VLOOKUP("industry|PM25|Premature mortality", US_national_yearly!$D:$AM, 21, FALSE) / VLOOKUP("industry|PM25|Premature mortality", US_national_yearly!$D:$AM, 10, FALSE), 1)</f>
        <v>6.9571826569098438E-2</v>
      </c>
      <c r="N2" s="7">
        <f>$B2 * IFERROR(VLOOKUP("industry|PM25|Premature mortality", US_national_yearly!$D:$AM, 22, FALSE) / VLOOKUP("industry|PM25|Premature mortality", US_national_yearly!$D:$AM, 10, FALSE), 1)</f>
        <v>7.0307744287977703E-2</v>
      </c>
      <c r="O2" s="7">
        <f>$B2 * IFERROR(VLOOKUP("industry|PM25|Premature mortality", US_national_yearly!$D:$AM, 23, FALSE) / VLOOKUP("industry|PM25|Premature mortality", US_national_yearly!$D:$AM, 10, FALSE), 1)</f>
        <v>7.1043662006856939E-2</v>
      </c>
      <c r="P2" s="7">
        <f>$B2 * IFERROR(VLOOKUP("industry|PM25|Premature mortality", US_national_yearly!$D:$AM, 24, FALSE) / VLOOKUP("industry|PM25|Premature mortality", US_national_yearly!$D:$AM, 10, FALSE), 1)</f>
        <v>7.1779579725736203E-2</v>
      </c>
      <c r="Q2" s="7">
        <f>$B2 * IFERROR(VLOOKUP("industry|PM25|Premature mortality", US_national_yearly!$D:$AM, 25, FALSE) / VLOOKUP("industry|PM25|Premature mortality", US_national_yearly!$D:$AM, 10, FALSE), 1)</f>
        <v>7.2515497444615454E-2</v>
      </c>
      <c r="R2" s="7">
        <f>$B2 * IFERROR(VLOOKUP("industry|PM25|Premature mortality", US_national_yearly!$D:$AM, 26, FALSE) / VLOOKUP("industry|PM25|Premature mortality", US_national_yearly!$D:$AM, 10, FALSE), 1)</f>
        <v>7.3251415163494704E-2</v>
      </c>
      <c r="S2" s="7">
        <f>$B2 * IFERROR(VLOOKUP("industry|PM25|Premature mortality", US_national_yearly!$D:$AM, 27, FALSE) / VLOOKUP("industry|PM25|Premature mortality", US_national_yearly!$D:$AM, 10, FALSE), 1)</f>
        <v>7.3648783436704876E-2</v>
      </c>
      <c r="T2" s="7">
        <f>$B2 * IFERROR(VLOOKUP("industry|PM25|Premature mortality", US_national_yearly!$D:$AM, 28, FALSE) / VLOOKUP("industry|PM25|Premature mortality", US_national_yearly!$D:$AM, 10, FALSE), 1)</f>
        <v>7.4046151709915048E-2</v>
      </c>
      <c r="U2" s="7">
        <f>$B2 * IFERROR(VLOOKUP("industry|PM25|Premature mortality", US_national_yearly!$D:$AM, 29, FALSE) / VLOOKUP("industry|PM25|Premature mortality", US_national_yearly!$D:$AM, 10, FALSE), 1)</f>
        <v>7.4443519983125234E-2</v>
      </c>
      <c r="V2" s="7">
        <f>$B2 * IFERROR(VLOOKUP("industry|PM25|Premature mortality", US_national_yearly!$D:$AM, 30, FALSE) / VLOOKUP("industry|PM25|Premature mortality", US_national_yearly!$D:$AM, 10, FALSE), 1)</f>
        <v>7.4840888256335406E-2</v>
      </c>
      <c r="W2" s="7">
        <f>$B2 * IFERROR(VLOOKUP("industry|PM25|Premature mortality", US_national_yearly!$D:$AM, 31, FALSE) / VLOOKUP("industry|PM25|Premature mortality", US_national_yearly!$D:$AM, 10, FALSE), 1)</f>
        <v>7.5238256529545577E-2</v>
      </c>
      <c r="X2" s="7">
        <f>$B2 * IFERROR(VLOOKUP("industry|PM25|Premature mortality", US_national_yearly!$D:$AM, 32, FALSE) / VLOOKUP("industry|PM25|Premature mortality", US_national_yearly!$D:$AM, 10, FALSE), 1)</f>
        <v>7.5320299149950073E-2</v>
      </c>
      <c r="Y2" s="7">
        <f>$B2 * IFERROR(VLOOKUP("industry|PM25|Premature mortality", US_national_yearly!$D:$AM, 33, FALSE) / VLOOKUP("industry|PM25|Premature mortality", US_national_yearly!$D:$AM, 10, FALSE), 1)</f>
        <v>7.5402341770354611E-2</v>
      </c>
      <c r="Z2" s="7">
        <f>$B2 * IFERROR(VLOOKUP("industry|PM25|Premature mortality", US_national_yearly!$D:$AM, 34, FALSE) / VLOOKUP("industry|PM25|Premature mortality", US_national_yearly!$D:$AM, 10, FALSE), 1)</f>
        <v>7.5484384390759121E-2</v>
      </c>
      <c r="AA2" s="7">
        <f>$B2 * IFERROR(VLOOKUP("industry|PM25|Premature mortality", US_national_yearly!$D:$AM, 35, FALSE) / VLOOKUP("industry|PM25|Premature mortality", US_national_yearly!$D:$AM, 10, FALSE), 1)</f>
        <v>7.5566427011163645E-2</v>
      </c>
      <c r="AB2" s="7">
        <f>$B2 * IFERROR(VLOOKUP("industry|PM25|Premature mortality", US_national_yearly!$D:$AM, 36, FALSE) / VLOOKUP("industry|PM25|Premature mortality", US_national_yearly!$D:$AM, 10, FALSE), 1)</f>
        <v>7.5648469631568155E-2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1.2879568808138396E-4</v>
      </c>
      <c r="C3" s="7">
        <f>$B3 * IFERROR(VLOOKUP("industry|PM25|Infant mortality", US_national_yearly!$D:$AM, 11, FALSE) / VLOOKUP("industry|PM25|Infant mortality", US_national_yearly!$D:$AM, 10, FALSE), 1)</f>
        <v>1.2767428349284225E-4</v>
      </c>
      <c r="D3" s="7">
        <f>$B3 * IFERROR(VLOOKUP("industry|PM25|Infant mortality", US_national_yearly!$D:$AM, 12, FALSE) / VLOOKUP("industry|PM25|Infant mortality", US_national_yearly!$D:$AM, 10, FALSE), 1)</f>
        <v>1.2655287890430054E-4</v>
      </c>
      <c r="E3" s="7">
        <f>$B3 * IFERROR(VLOOKUP("industry|PM25|Infant mortality", US_national_yearly!$D:$AM, 13, FALSE) / VLOOKUP("industry|PM25|Infant mortality", US_national_yearly!$D:$AM, 10, FALSE), 1)</f>
        <v>1.2543147431575883E-4</v>
      </c>
      <c r="F3" s="7">
        <f>$B3 * IFERROR(VLOOKUP("industry|PM25|Infant mortality", US_national_yearly!$D:$AM, 14, FALSE) / VLOOKUP("industry|PM25|Infant mortality", US_national_yearly!$D:$AM, 10, FALSE), 1)</f>
        <v>1.2431006972721712E-4</v>
      </c>
      <c r="G3" s="7">
        <f>$B3 * IFERROR(VLOOKUP("industry|PM25|Infant mortality", US_national_yearly!$D:$AM, 15, FALSE) / VLOOKUP("industry|PM25|Infant mortality", US_national_yearly!$D:$AM, 10, FALSE), 1)</f>
        <v>8.259596154986434E-5</v>
      </c>
      <c r="H3" s="7">
        <f>$B3 * IFERROR(VLOOKUP("industry|PM25|Infant mortality", US_national_yearly!$D:$AM, 16, FALSE) / VLOOKUP("industry|PM25|Infant mortality", US_national_yearly!$D:$AM, 10, FALSE), 1)</f>
        <v>4.0881853372511562E-5</v>
      </c>
      <c r="I3" s="7">
        <f>$B3 * IFERROR(VLOOKUP("industry|PM25|Infant mortality", US_national_yearly!$D:$AM, 17, FALSE) / VLOOKUP("industry|PM25|Infant mortality", US_national_yearly!$D:$AM, 10, FALSE), 1)</f>
        <v>4.060974431599865E-5</v>
      </c>
      <c r="J3" s="7">
        <f>$B3 * IFERROR(VLOOKUP("industry|PM25|Infant mortality", US_national_yearly!$D:$AM, 18, FALSE) / VLOOKUP("industry|PM25|Infant mortality", US_national_yearly!$D:$AM, 10, FALSE), 1)</f>
        <v>4.0337635259485732E-5</v>
      </c>
      <c r="K3" s="7">
        <f>$B3 * IFERROR(VLOOKUP("industry|PM25|Infant mortality", US_national_yearly!$D:$AM, 19, FALSE) / VLOOKUP("industry|PM25|Infant mortality", US_national_yearly!$D:$AM, 10, FALSE), 1)</f>
        <v>4.006552620297282E-5</v>
      </c>
      <c r="L3" s="7">
        <f>$B3 * IFERROR(VLOOKUP("industry|PM25|Infant mortality", US_national_yearly!$D:$AM, 20, FALSE) / VLOOKUP("industry|PM25|Infant mortality", US_national_yearly!$D:$AM, 10, FALSE), 1)</f>
        <v>3.9793417146459895E-5</v>
      </c>
      <c r="M3" s="7">
        <f>$B3 * IFERROR(VLOOKUP("industry|PM25|Infant mortality", US_national_yearly!$D:$AM, 21, FALSE) / VLOOKUP("industry|PM25|Infant mortality", US_national_yearly!$D:$AM, 10, FALSE), 1)</f>
        <v>3.952130808994699E-5</v>
      </c>
      <c r="N3" s="7">
        <f>$B3 * IFERROR(VLOOKUP("industry|PM25|Infant mortality", US_national_yearly!$D:$AM, 22, FALSE) / VLOOKUP("industry|PM25|Infant mortality", US_national_yearly!$D:$AM, 10, FALSE), 1)</f>
        <v>3.9347676014147297E-5</v>
      </c>
      <c r="O3" s="7">
        <f>$B3 * IFERROR(VLOOKUP("industry|PM25|Infant mortality", US_national_yearly!$D:$AM, 23, FALSE) / VLOOKUP("industry|PM25|Infant mortality", US_national_yearly!$D:$AM, 10, FALSE), 1)</f>
        <v>3.9174043938347611E-5</v>
      </c>
      <c r="P3" s="7">
        <f>$B3 * IFERROR(VLOOKUP("industry|PM25|Infant mortality", US_national_yearly!$D:$AM, 24, FALSE) / VLOOKUP("industry|PM25|Infant mortality", US_national_yearly!$D:$AM, 10, FALSE), 1)</f>
        <v>3.9000411862547925E-5</v>
      </c>
      <c r="Q3" s="7">
        <f>$B3 * IFERROR(VLOOKUP("industry|PM25|Infant mortality", US_national_yearly!$D:$AM, 25, FALSE) / VLOOKUP("industry|PM25|Infant mortality", US_national_yearly!$D:$AM, 10, FALSE), 1)</f>
        <v>3.8826779786748238E-5</v>
      </c>
      <c r="R3" s="7">
        <f>$B3 * IFERROR(VLOOKUP("industry|PM25|Infant mortality", US_national_yearly!$D:$AM, 26, FALSE) / VLOOKUP("industry|PM25|Infant mortality", US_national_yearly!$D:$AM, 10, FALSE), 1)</f>
        <v>3.8653147710948552E-5</v>
      </c>
      <c r="S3" s="7">
        <f>$B3 * IFERROR(VLOOKUP("industry|PM25|Infant mortality", US_national_yearly!$D:$AM, 27, FALSE) / VLOOKUP("industry|PM25|Infant mortality", US_national_yearly!$D:$AM, 10, FALSE), 1)</f>
        <v>3.8439595935019237E-5</v>
      </c>
      <c r="T3" s="7">
        <f>$B3 * IFERROR(VLOOKUP("industry|PM25|Infant mortality", US_national_yearly!$D:$AM, 28, FALSE) / VLOOKUP("industry|PM25|Infant mortality", US_national_yearly!$D:$AM, 10, FALSE), 1)</f>
        <v>3.8226044159089928E-5</v>
      </c>
      <c r="U3" s="7">
        <f>$B3 * IFERROR(VLOOKUP("industry|PM25|Infant mortality", US_national_yearly!$D:$AM, 29, FALSE) / VLOOKUP("industry|PM25|Infant mortality", US_national_yearly!$D:$AM, 10, FALSE), 1)</f>
        <v>3.8012492383160613E-5</v>
      </c>
      <c r="V3" s="7">
        <f>$B3 * IFERROR(VLOOKUP("industry|PM25|Infant mortality", US_national_yearly!$D:$AM, 30, FALSE) / VLOOKUP("industry|PM25|Infant mortality", US_national_yearly!$D:$AM, 10, FALSE), 1)</f>
        <v>3.7798940607231304E-5</v>
      </c>
      <c r="W3" s="7">
        <f>$B3 * IFERROR(VLOOKUP("industry|PM25|Infant mortality", US_national_yearly!$D:$AM, 31, FALSE) / VLOOKUP("industry|PM25|Infant mortality", US_national_yearly!$D:$AM, 10, FALSE), 1)</f>
        <v>3.7585388831301995E-5</v>
      </c>
      <c r="X3" s="7">
        <f>$B3 * IFERROR(VLOOKUP("industry|PM25|Infant mortality", US_national_yearly!$D:$AM, 32, FALSE) / VLOOKUP("industry|PM25|Infant mortality", US_national_yearly!$D:$AM, 10, FALSE), 1)</f>
        <v>3.7357181999942706E-5</v>
      </c>
      <c r="Y3" s="7">
        <f>$B3 * IFERROR(VLOOKUP("industry|PM25|Infant mortality", US_national_yearly!$D:$AM, 33, FALSE) / VLOOKUP("industry|PM25|Infant mortality", US_national_yearly!$D:$AM, 10, FALSE), 1)</f>
        <v>3.7128975168583424E-5</v>
      </c>
      <c r="Z3" s="7">
        <f>$B3 * IFERROR(VLOOKUP("industry|PM25|Infant mortality", US_national_yearly!$D:$AM, 34, FALSE) / VLOOKUP("industry|PM25|Infant mortality", US_national_yearly!$D:$AM, 10, FALSE), 1)</f>
        <v>3.6900768337224142E-5</v>
      </c>
      <c r="AA3" s="7">
        <f>$B3 * IFERROR(VLOOKUP("industry|PM25|Infant mortality", US_national_yearly!$D:$AM, 35, FALSE) / VLOOKUP("industry|PM25|Infant mortality", US_national_yearly!$D:$AM, 10, FALSE), 1)</f>
        <v>3.6672561505864859E-5</v>
      </c>
      <c r="AB3" s="7">
        <f>$B3 * IFERROR(VLOOKUP("industry|PM25|Infant mortality", US_national_yearly!$D:$AM, 36, FALSE) / VLOOKUP("industry|PM25|Infant mortality", US_national_yearly!$D:$AM, 10, FALSE), 1)</f>
        <v>3.6444354674505577E-5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0.1752166615288879</v>
      </c>
      <c r="C6" s="7">
        <f>$B6 * IFERROR(VLOOKUP("industry|PM25|Asthma symptoms cough", US_national_yearly!$D:$AM, 11, FALSE) / VLOOKUP("industry|PM25|Asthma symptoms cough", US_national_yearly!$D:$AM, 10, FALSE), 1)</f>
        <v>0.1752166615288879</v>
      </c>
      <c r="D6" s="7">
        <f>$B6 * IFERROR(VLOOKUP("industry|PM25|Asthma symptoms cough", US_national_yearly!$D:$AM, 12, FALSE) / VLOOKUP("industry|PM25|Asthma symptoms cough", US_national_yearly!$D:$AM, 10, FALSE), 1)</f>
        <v>0.1752166615288879</v>
      </c>
      <c r="E6" s="7">
        <f>$B6 * IFERROR(VLOOKUP("industry|PM25|Asthma symptoms cough", US_national_yearly!$D:$AM, 13, FALSE) / VLOOKUP("industry|PM25|Asthma symptoms cough", US_national_yearly!$D:$AM, 10, FALSE), 1)</f>
        <v>0.1752166615288879</v>
      </c>
      <c r="F6" s="7">
        <f>$B6 * IFERROR(VLOOKUP("industry|PM25|Asthma symptoms cough", US_national_yearly!$D:$AM, 14, FALSE) / VLOOKUP("industry|PM25|Asthma symptoms cough", US_national_yearly!$D:$AM, 10, FALSE), 1)</f>
        <v>0.1752166615288879</v>
      </c>
      <c r="G6" s="7">
        <f>$B6 * IFERROR(VLOOKUP("industry|PM25|Asthma symptoms cough", US_national_yearly!$D:$AM, 15, FALSE) / VLOOKUP("industry|PM25|Asthma symptoms cough", US_national_yearly!$D:$AM, 10, FALSE), 1)</f>
        <v>0.1752166615288879</v>
      </c>
      <c r="H6" s="7">
        <f>$B6 * IFERROR(VLOOKUP("industry|PM25|Asthma symptoms cough", US_national_yearly!$D:$AM, 16, FALSE) / VLOOKUP("industry|PM25|Asthma symptoms cough", US_national_yearly!$D:$AM, 10, FALSE), 1)</f>
        <v>0.1752166615288879</v>
      </c>
      <c r="I6" s="7">
        <f>$B6 * IFERROR(VLOOKUP("industry|PM25|Asthma symptoms cough", US_national_yearly!$D:$AM, 17, FALSE) / VLOOKUP("industry|PM25|Asthma symptoms cough", US_national_yearly!$D:$AM, 10, FALSE), 1)</f>
        <v>0.1752166615288879</v>
      </c>
      <c r="J6" s="7">
        <f>$B6 * IFERROR(VLOOKUP("industry|PM25|Asthma symptoms cough", US_national_yearly!$D:$AM, 18, FALSE) / VLOOKUP("industry|PM25|Asthma symptoms cough", US_national_yearly!$D:$AM, 10, FALSE), 1)</f>
        <v>0.1752166615288879</v>
      </c>
      <c r="K6" s="7">
        <f>$B6 * IFERROR(VLOOKUP("industry|PM25|Asthma symptoms cough", US_national_yearly!$D:$AM, 19, FALSE) / VLOOKUP("industry|PM25|Asthma symptoms cough", US_national_yearly!$D:$AM, 10, FALSE), 1)</f>
        <v>0.1752166615288879</v>
      </c>
      <c r="L6" s="7">
        <f>$B6 * IFERROR(VLOOKUP("industry|PM25|Asthma symptoms cough", US_national_yearly!$D:$AM, 20, FALSE) / VLOOKUP("industry|PM25|Asthma symptoms cough", US_national_yearly!$D:$AM, 10, FALSE), 1)</f>
        <v>0.1752166615288879</v>
      </c>
      <c r="M6" s="7">
        <f>$B6 * IFERROR(VLOOKUP("industry|PM25|Asthma symptoms cough", US_national_yearly!$D:$AM, 21, FALSE) / VLOOKUP("industry|PM25|Asthma symptoms cough", US_national_yearly!$D:$AM, 10, FALSE), 1)</f>
        <v>0.1752166615288879</v>
      </c>
      <c r="N6" s="7">
        <f>$B6 * IFERROR(VLOOKUP("industry|PM25|Asthma symptoms cough", US_national_yearly!$D:$AM, 22, FALSE) / VLOOKUP("industry|PM25|Asthma symptoms cough", US_national_yearly!$D:$AM, 10, FALSE), 1)</f>
        <v>0.1752166615288879</v>
      </c>
      <c r="O6" s="7">
        <f>$B6 * IFERROR(VLOOKUP("industry|PM25|Asthma symptoms cough", US_national_yearly!$D:$AM, 23, FALSE) / VLOOKUP("industry|PM25|Asthma symptoms cough", US_national_yearly!$D:$AM, 10, FALSE), 1)</f>
        <v>0.1752166615288879</v>
      </c>
      <c r="P6" s="7">
        <f>$B6 * IFERROR(VLOOKUP("industry|PM25|Asthma symptoms cough", US_national_yearly!$D:$AM, 24, FALSE) / VLOOKUP("industry|PM25|Asthma symptoms cough", US_national_yearly!$D:$AM, 10, FALSE), 1)</f>
        <v>0.1752166615288879</v>
      </c>
      <c r="Q6" s="7">
        <f>$B6 * IFERROR(VLOOKUP("industry|PM25|Asthma symptoms cough", US_national_yearly!$D:$AM, 25, FALSE) / VLOOKUP("industry|PM25|Asthma symptoms cough", US_national_yearly!$D:$AM, 10, FALSE), 1)</f>
        <v>0.1752166615288879</v>
      </c>
      <c r="R6" s="7">
        <f>$B6 * IFERROR(VLOOKUP("industry|PM25|Asthma symptoms cough", US_national_yearly!$D:$AM, 26, FALSE) / VLOOKUP("industry|PM25|Asthma symptoms cough", US_national_yearly!$D:$AM, 10, FALSE), 1)</f>
        <v>0.1752166615288879</v>
      </c>
      <c r="S6" s="7">
        <f>$B6 * IFERROR(VLOOKUP("industry|PM25|Asthma symptoms cough", US_national_yearly!$D:$AM, 27, FALSE) / VLOOKUP("industry|PM25|Asthma symptoms cough", US_national_yearly!$D:$AM, 10, FALSE), 1)</f>
        <v>0.1752166615288879</v>
      </c>
      <c r="T6" s="7">
        <f>$B6 * IFERROR(VLOOKUP("industry|PM25|Asthma symptoms cough", US_national_yearly!$D:$AM, 28, FALSE) / VLOOKUP("industry|PM25|Asthma symptoms cough", US_national_yearly!$D:$AM, 10, FALSE), 1)</f>
        <v>0.1752166615288879</v>
      </c>
      <c r="U6" s="7">
        <f>$B6 * IFERROR(VLOOKUP("industry|PM25|Asthma symptoms cough", US_national_yearly!$D:$AM, 29, FALSE) / VLOOKUP("industry|PM25|Asthma symptoms cough", US_national_yearly!$D:$AM, 10, FALSE), 1)</f>
        <v>0.1752166615288879</v>
      </c>
      <c r="V6" s="7">
        <f>$B6 * IFERROR(VLOOKUP("industry|PM25|Asthma symptoms cough", US_national_yearly!$D:$AM, 30, FALSE) / VLOOKUP("industry|PM25|Asthma symptoms cough", US_national_yearly!$D:$AM, 10, FALSE), 1)</f>
        <v>0.1752166615288879</v>
      </c>
      <c r="W6" s="7">
        <f>$B6 * IFERROR(VLOOKUP("industry|PM25|Asthma symptoms cough", US_national_yearly!$D:$AM, 31, FALSE) / VLOOKUP("industry|PM25|Asthma symptoms cough", US_national_yearly!$D:$AM, 10, FALSE), 1)</f>
        <v>0.1752166615288879</v>
      </c>
      <c r="X6" s="7">
        <f>$B6 * IFERROR(VLOOKUP("industry|PM25|Asthma symptoms cough", US_national_yearly!$D:$AM, 32, FALSE) / VLOOKUP("industry|PM25|Asthma symptoms cough", US_national_yearly!$D:$AM, 10, FALSE), 1)</f>
        <v>0.1752166615288879</v>
      </c>
      <c r="Y6" s="7">
        <f>$B6 * IFERROR(VLOOKUP("industry|PM25|Asthma symptoms cough", US_national_yearly!$D:$AM, 33, FALSE) / VLOOKUP("industry|PM25|Asthma symptoms cough", US_national_yearly!$D:$AM, 10, FALSE), 1)</f>
        <v>0.1752166615288879</v>
      </c>
      <c r="Z6" s="7">
        <f>$B6 * IFERROR(VLOOKUP("industry|PM25|Asthma symptoms cough", US_national_yearly!$D:$AM, 34, FALSE) / VLOOKUP("industry|PM25|Asthma symptoms cough", US_national_yearly!$D:$AM, 10, FALSE), 1)</f>
        <v>0.1752166615288879</v>
      </c>
      <c r="AA6" s="7">
        <f>$B6 * IFERROR(VLOOKUP("industry|PM25|Asthma symptoms cough", US_national_yearly!$D:$AM, 35, FALSE) / VLOOKUP("industry|PM25|Asthma symptoms cough", US_national_yearly!$D:$AM, 10, FALSE), 1)</f>
        <v>0.1752166615288879</v>
      </c>
      <c r="AB6" s="7">
        <f>$B6 * IFERROR(VLOOKUP("industry|PM25|Asthma symptoms cough", US_national_yearly!$D:$AM, 36, FALSE) / VLOOKUP("industry|PM25|Asthma symptoms cough", US_national_yearly!$D:$AM, 10, FALSE), 1)</f>
        <v>0.1752166615288879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0.23592756936026513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0.23592756936026513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0.23592756936026513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0.23592756936026513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0.23592756936026513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0.23592756936026513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0.23592756936026513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0.23592756936026513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0.23592756936026513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0.23592756936026513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0.23592756936026513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0.23592756936026513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0.23592756936026513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0.23592756936026513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0.23592756936026513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0.23592756936026513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0.23592756936026513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0.23592756936026513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0.23592756936026513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0.23592756936026513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0.23592756936026513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0.23592756936026513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0.23592756936026513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0.23592756936026513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0.23592756936026513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0.23592756936026513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0.23592756936026513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0.36055382412372838</v>
      </c>
      <c r="C8" s="7">
        <f>$B8 * IFERROR(VLOOKUP("industry|PM25|Asthma symptoms wheeze", US_national_yearly!$D:$AM, 11, FALSE) / VLOOKUP("industry|PM25|Asthma symptoms wheeze", US_national_yearly!$D:$AM, 10, FALSE), 1)</f>
        <v>0.36055382412372838</v>
      </c>
      <c r="D8" s="7">
        <f>$B8 * IFERROR(VLOOKUP("industry|PM25|Asthma symptoms wheeze", US_national_yearly!$D:$AM, 12, FALSE) / VLOOKUP("industry|PM25|Asthma symptoms wheeze", US_national_yearly!$D:$AM, 10, FALSE), 1)</f>
        <v>0.36055382412372838</v>
      </c>
      <c r="E8" s="7">
        <f>$B8 * IFERROR(VLOOKUP("industry|PM25|Asthma symptoms wheeze", US_national_yearly!$D:$AM, 13, FALSE) / VLOOKUP("industry|PM25|Asthma symptoms wheeze", US_national_yearly!$D:$AM, 10, FALSE), 1)</f>
        <v>0.36055382412372838</v>
      </c>
      <c r="F8" s="7">
        <f>$B8 * IFERROR(VLOOKUP("industry|PM25|Asthma symptoms wheeze", US_national_yearly!$D:$AM, 14, FALSE) / VLOOKUP("industry|PM25|Asthma symptoms wheeze", US_national_yearly!$D:$AM, 10, FALSE), 1)</f>
        <v>0.36055382412372838</v>
      </c>
      <c r="G8" s="7">
        <f>$B8 * IFERROR(VLOOKUP("industry|PM25|Asthma symptoms wheeze", US_national_yearly!$D:$AM, 15, FALSE) / VLOOKUP("industry|PM25|Asthma symptoms wheeze", US_national_yearly!$D:$AM, 10, FALSE), 1)</f>
        <v>0.36055382412372838</v>
      </c>
      <c r="H8" s="7">
        <f>$B8 * IFERROR(VLOOKUP("industry|PM25|Asthma symptoms wheeze", US_national_yearly!$D:$AM, 16, FALSE) / VLOOKUP("industry|PM25|Asthma symptoms wheeze", US_national_yearly!$D:$AM, 10, FALSE), 1)</f>
        <v>0.36055382412372838</v>
      </c>
      <c r="I8" s="7">
        <f>$B8 * IFERROR(VLOOKUP("industry|PM25|Asthma symptoms wheeze", US_national_yearly!$D:$AM, 17, FALSE) / VLOOKUP("industry|PM25|Asthma symptoms wheeze", US_national_yearly!$D:$AM, 10, FALSE), 1)</f>
        <v>0.36055382412372838</v>
      </c>
      <c r="J8" s="7">
        <f>$B8 * IFERROR(VLOOKUP("industry|PM25|Asthma symptoms wheeze", US_national_yearly!$D:$AM, 18, FALSE) / VLOOKUP("industry|PM25|Asthma symptoms wheeze", US_national_yearly!$D:$AM, 10, FALSE), 1)</f>
        <v>0.36055382412372838</v>
      </c>
      <c r="K8" s="7">
        <f>$B8 * IFERROR(VLOOKUP("industry|PM25|Asthma symptoms wheeze", US_national_yearly!$D:$AM, 19, FALSE) / VLOOKUP("industry|PM25|Asthma symptoms wheeze", US_national_yearly!$D:$AM, 10, FALSE), 1)</f>
        <v>0.36055382412372838</v>
      </c>
      <c r="L8" s="7">
        <f>$B8 * IFERROR(VLOOKUP("industry|PM25|Asthma symptoms wheeze", US_national_yearly!$D:$AM, 20, FALSE) / VLOOKUP("industry|PM25|Asthma symptoms wheeze", US_national_yearly!$D:$AM, 10, FALSE), 1)</f>
        <v>0.36055382412372838</v>
      </c>
      <c r="M8" s="7">
        <f>$B8 * IFERROR(VLOOKUP("industry|PM25|Asthma symptoms wheeze", US_national_yearly!$D:$AM, 21, FALSE) / VLOOKUP("industry|PM25|Asthma symptoms wheeze", US_national_yearly!$D:$AM, 10, FALSE), 1)</f>
        <v>0.36055382412372838</v>
      </c>
      <c r="N8" s="7">
        <f>$B8 * IFERROR(VLOOKUP("industry|PM25|Asthma symptoms wheeze", US_national_yearly!$D:$AM, 22, FALSE) / VLOOKUP("industry|PM25|Asthma symptoms wheeze", US_national_yearly!$D:$AM, 10, FALSE), 1)</f>
        <v>0.36055382412372838</v>
      </c>
      <c r="O8" s="7">
        <f>$B8 * IFERROR(VLOOKUP("industry|PM25|Asthma symptoms wheeze", US_national_yearly!$D:$AM, 23, FALSE) / VLOOKUP("industry|PM25|Asthma symptoms wheeze", US_national_yearly!$D:$AM, 10, FALSE), 1)</f>
        <v>0.36055382412372838</v>
      </c>
      <c r="P8" s="7">
        <f>$B8 * IFERROR(VLOOKUP("industry|PM25|Asthma symptoms wheeze", US_national_yearly!$D:$AM, 24, FALSE) / VLOOKUP("industry|PM25|Asthma symptoms wheeze", US_national_yearly!$D:$AM, 10, FALSE), 1)</f>
        <v>0.36055382412372838</v>
      </c>
      <c r="Q8" s="7">
        <f>$B8 * IFERROR(VLOOKUP("industry|PM25|Asthma symptoms wheeze", US_national_yearly!$D:$AM, 25, FALSE) / VLOOKUP("industry|PM25|Asthma symptoms wheeze", US_national_yearly!$D:$AM, 10, FALSE), 1)</f>
        <v>0.36055382412372838</v>
      </c>
      <c r="R8" s="7">
        <f>$B8 * IFERROR(VLOOKUP("industry|PM25|Asthma symptoms wheeze", US_national_yearly!$D:$AM, 26, FALSE) / VLOOKUP("industry|PM25|Asthma symptoms wheeze", US_national_yearly!$D:$AM, 10, FALSE), 1)</f>
        <v>0.36055382412372838</v>
      </c>
      <c r="S8" s="7">
        <f>$B8 * IFERROR(VLOOKUP("industry|PM25|Asthma symptoms wheeze", US_national_yearly!$D:$AM, 27, FALSE) / VLOOKUP("industry|PM25|Asthma symptoms wheeze", US_national_yearly!$D:$AM, 10, FALSE), 1)</f>
        <v>0.36055382412372838</v>
      </c>
      <c r="T8" s="7">
        <f>$B8 * IFERROR(VLOOKUP("industry|PM25|Asthma symptoms wheeze", US_national_yearly!$D:$AM, 28, FALSE) / VLOOKUP("industry|PM25|Asthma symptoms wheeze", US_national_yearly!$D:$AM, 10, FALSE), 1)</f>
        <v>0.36055382412372838</v>
      </c>
      <c r="U8" s="7">
        <f>$B8 * IFERROR(VLOOKUP("industry|PM25|Asthma symptoms wheeze", US_national_yearly!$D:$AM, 29, FALSE) / VLOOKUP("industry|PM25|Asthma symptoms wheeze", US_national_yearly!$D:$AM, 10, FALSE), 1)</f>
        <v>0.36055382412372838</v>
      </c>
      <c r="V8" s="7">
        <f>$B8 * IFERROR(VLOOKUP("industry|PM25|Asthma symptoms wheeze", US_national_yearly!$D:$AM, 30, FALSE) / VLOOKUP("industry|PM25|Asthma symptoms wheeze", US_national_yearly!$D:$AM, 10, FALSE), 1)</f>
        <v>0.36055382412372838</v>
      </c>
      <c r="W8" s="7">
        <f>$B8 * IFERROR(VLOOKUP("industry|PM25|Asthma symptoms wheeze", US_national_yearly!$D:$AM, 31, FALSE) / VLOOKUP("industry|PM25|Asthma symptoms wheeze", US_national_yearly!$D:$AM, 10, FALSE), 1)</f>
        <v>0.36055382412372838</v>
      </c>
      <c r="X8" s="7">
        <f>$B8 * IFERROR(VLOOKUP("industry|PM25|Asthma symptoms wheeze", US_national_yearly!$D:$AM, 32, FALSE) / VLOOKUP("industry|PM25|Asthma symptoms wheeze", US_national_yearly!$D:$AM, 10, FALSE), 1)</f>
        <v>0.36055382412372838</v>
      </c>
      <c r="Y8" s="7">
        <f>$B8 * IFERROR(VLOOKUP("industry|PM25|Asthma symptoms wheeze", US_national_yearly!$D:$AM, 33, FALSE) / VLOOKUP("industry|PM25|Asthma symptoms wheeze", US_national_yearly!$D:$AM, 10, FALSE), 1)</f>
        <v>0.36055382412372838</v>
      </c>
      <c r="Z8" s="7">
        <f>$B8 * IFERROR(VLOOKUP("industry|PM25|Asthma symptoms wheeze", US_national_yearly!$D:$AM, 34, FALSE) / VLOOKUP("industry|PM25|Asthma symptoms wheeze", US_national_yearly!$D:$AM, 10, FALSE), 1)</f>
        <v>0.36055382412372838</v>
      </c>
      <c r="AA8" s="7">
        <f>$B8 * IFERROR(VLOOKUP("industry|PM25|Asthma symptoms wheeze", US_national_yearly!$D:$AM, 35, FALSE) / VLOOKUP("industry|PM25|Asthma symptoms wheeze", US_national_yearly!$D:$AM, 10, FALSE), 1)</f>
        <v>0.36055382412372838</v>
      </c>
      <c r="AB8" s="7">
        <f>$B8 * IFERROR(VLOOKUP("industry|PM25|Asthma symptoms wheeze", US_national_yearly!$D:$AM, 36, FALSE) / VLOOKUP("industry|PM25|Asthma symptoms wheeze", US_national_yearly!$D:$AM, 10, FALSE), 1)</f>
        <v>0.36055382412372838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4.6433284830924336E-3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4.6696912761428813E-3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4.6960540691933289E-3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4.7224168622437765E-3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4.748779655294225E-3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4.7772828071782928E-3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4.8057859590623616E-3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4.8328247845047523E-3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4.8598636099471439E-3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4.8869024353895337E-3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4.9139412608319244E-3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4.940980086274316E-3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4.9601038900878554E-3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4.9792276939013931E-3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4.9983514977149325E-3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5.017475301528471E-3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5.0365991053420104E-3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5.0546362333774089E-3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5.0726733614128083E-3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5.0907104894482086E-3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5.1087476174836071E-3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5.1267847455190073E-3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5.144151877466808E-3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5.1615190094146095E-3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5.178886141362412E-3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5.1962532733102144E-3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5.2136204052580159E-3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2.8478409060662964E-2</v>
      </c>
      <c r="C13" s="7">
        <f>$B13 * IFERROR(VLOOKUP("industry|PM25|Non-fatal heart attacks", US_national_yearly!$D:$AM, 11, FALSE) / VLOOKUP("industry|PM25|Non-fatal heart attacks", US_national_yearly!$D:$AM, 10, FALSE), 1)</f>
        <v>2.930742301562609E-2</v>
      </c>
      <c r="D13" s="7">
        <f>$B13 * IFERROR(VLOOKUP("industry|PM25|Non-fatal heart attacks", US_national_yearly!$D:$AM, 12, FALSE) / VLOOKUP("industry|PM25|Non-fatal heart attacks", US_national_yearly!$D:$AM, 10, FALSE), 1)</f>
        <v>3.0136436970589212E-2</v>
      </c>
      <c r="E13" s="7">
        <f>$B13 * IFERROR(VLOOKUP("industry|PM25|Non-fatal heart attacks", US_national_yearly!$D:$AM, 13, FALSE) / VLOOKUP("industry|PM25|Non-fatal heart attacks", US_national_yearly!$D:$AM, 10, FALSE), 1)</f>
        <v>3.0965450925552338E-2</v>
      </c>
      <c r="F13" s="7">
        <f>$B13 * IFERROR(VLOOKUP("industry|PM25|Non-fatal heart attacks", US_national_yearly!$D:$AM, 14, FALSE) / VLOOKUP("industry|PM25|Non-fatal heart attacks", US_national_yearly!$D:$AM, 10, FALSE), 1)</f>
        <v>3.1794464880515468E-2</v>
      </c>
      <c r="G13" s="7">
        <f>$B13 * IFERROR(VLOOKUP("industry|PM25|Non-fatal heart attacks", US_national_yearly!$D:$AM, 15, FALSE) / VLOOKUP("industry|PM25|Non-fatal heart attacks", US_national_yearly!$D:$AM, 10, FALSE), 1)</f>
        <v>3.2577112344648128E-2</v>
      </c>
      <c r="H13" s="7">
        <f>$B13 * IFERROR(VLOOKUP("industry|PM25|Non-fatal heart attacks", US_national_yearly!$D:$AM, 16, FALSE) / VLOOKUP("industry|PM25|Non-fatal heart attacks", US_national_yearly!$D:$AM, 10, FALSE), 1)</f>
        <v>3.3359759808780802E-2</v>
      </c>
      <c r="I13" s="7">
        <f>$B13 * IFERROR(VLOOKUP("industry|PM25|Non-fatal heart attacks", US_national_yearly!$D:$AM, 17, FALSE) / VLOOKUP("industry|PM25|Non-fatal heart attacks", US_national_yearly!$D:$AM, 10, FALSE), 1)</f>
        <v>3.3991754863999121E-2</v>
      </c>
      <c r="J13" s="7">
        <f>$B13 * IFERROR(VLOOKUP("industry|PM25|Non-fatal heart attacks", US_national_yearly!$D:$AM, 18, FALSE) / VLOOKUP("industry|PM25|Non-fatal heart attacks", US_national_yearly!$D:$AM, 10, FALSE), 1)</f>
        <v>3.4623749919217427E-2</v>
      </c>
      <c r="K13" s="7">
        <f>$B13 * IFERROR(VLOOKUP("industry|PM25|Non-fatal heart attacks", US_national_yearly!$D:$AM, 19, FALSE) / VLOOKUP("industry|PM25|Non-fatal heart attacks", US_national_yearly!$D:$AM, 10, FALSE), 1)</f>
        <v>3.5255744974435739E-2</v>
      </c>
      <c r="L13" s="7">
        <f>$B13 * IFERROR(VLOOKUP("industry|PM25|Non-fatal heart attacks", US_national_yearly!$D:$AM, 20, FALSE) / VLOOKUP("industry|PM25|Non-fatal heart attacks", US_national_yearly!$D:$AM, 10, FALSE), 1)</f>
        <v>3.5887740029654044E-2</v>
      </c>
      <c r="M13" s="7">
        <f>$B13 * IFERROR(VLOOKUP("industry|PM25|Non-fatal heart attacks", US_national_yearly!$D:$AM, 21, FALSE) / VLOOKUP("industry|PM25|Non-fatal heart attacks", US_national_yearly!$D:$AM, 10, FALSE), 1)</f>
        <v>3.6519735084872357E-2</v>
      </c>
      <c r="N13" s="7">
        <f>$B13 * IFERROR(VLOOKUP("industry|PM25|Non-fatal heart attacks", US_national_yearly!$D:$AM, 22, FALSE) / VLOOKUP("industry|PM25|Non-fatal heart attacks", US_national_yearly!$D:$AM, 10, FALSE), 1)</f>
        <v>3.6928355084460872E-2</v>
      </c>
      <c r="O13" s="7">
        <f>$B13 * IFERROR(VLOOKUP("industry|PM25|Non-fatal heart attacks", US_national_yearly!$D:$AM, 23, FALSE) / VLOOKUP("industry|PM25|Non-fatal heart attacks", US_national_yearly!$D:$AM, 10, FALSE), 1)</f>
        <v>3.7336975084049387E-2</v>
      </c>
      <c r="P13" s="7">
        <f>$B13 * IFERROR(VLOOKUP("industry|PM25|Non-fatal heart attacks", US_national_yearly!$D:$AM, 24, FALSE) / VLOOKUP("industry|PM25|Non-fatal heart attacks", US_national_yearly!$D:$AM, 10, FALSE), 1)</f>
        <v>3.7745595083637902E-2</v>
      </c>
      <c r="Q13" s="7">
        <f>$B13 * IFERROR(VLOOKUP("industry|PM25|Non-fatal heart attacks", US_national_yearly!$D:$AM, 25, FALSE) / VLOOKUP("industry|PM25|Non-fatal heart attacks", US_national_yearly!$D:$AM, 10, FALSE), 1)</f>
        <v>3.815421508322641E-2</v>
      </c>
      <c r="R13" s="7">
        <f>$B13 * IFERROR(VLOOKUP("industry|PM25|Non-fatal heart attacks", US_national_yearly!$D:$AM, 26, FALSE) / VLOOKUP("industry|PM25|Non-fatal heart attacks", US_national_yearly!$D:$AM, 10, FALSE), 1)</f>
        <v>3.8562835082814932E-2</v>
      </c>
      <c r="S13" s="7">
        <f>$B13 * IFERROR(VLOOKUP("industry|PM25|Non-fatal heart attacks", US_national_yearly!$D:$AM, 27, FALSE) / VLOOKUP("industry|PM25|Non-fatal heart attacks", US_national_yearly!$D:$AM, 10, FALSE), 1)</f>
        <v>3.8781080573121636E-2</v>
      </c>
      <c r="T13" s="7">
        <f>$B13 * IFERROR(VLOOKUP("industry|PM25|Non-fatal heart attacks", US_national_yearly!$D:$AM, 28, FALSE) / VLOOKUP("industry|PM25|Non-fatal heart attacks", US_national_yearly!$D:$AM, 10, FALSE), 1)</f>
        <v>3.8999326063428361E-2</v>
      </c>
      <c r="U13" s="7">
        <f>$B13 * IFERROR(VLOOKUP("industry|PM25|Non-fatal heart attacks", US_national_yearly!$D:$AM, 29, FALSE) / VLOOKUP("industry|PM25|Non-fatal heart attacks", US_national_yearly!$D:$AM, 10, FALSE), 1)</f>
        <v>3.9217571553735071E-2</v>
      </c>
      <c r="V13" s="7">
        <f>$B13 * IFERROR(VLOOKUP("industry|PM25|Non-fatal heart attacks", US_national_yearly!$D:$AM, 30, FALSE) / VLOOKUP("industry|PM25|Non-fatal heart attacks", US_national_yearly!$D:$AM, 10, FALSE), 1)</f>
        <v>3.9435817044041782E-2</v>
      </c>
      <c r="W13" s="7">
        <f>$B13 * IFERROR(VLOOKUP("industry|PM25|Non-fatal heart attacks", US_national_yearly!$D:$AM, 31, FALSE) / VLOOKUP("industry|PM25|Non-fatal heart attacks", US_national_yearly!$D:$AM, 10, FALSE), 1)</f>
        <v>3.96540625343485E-2</v>
      </c>
      <c r="X13" s="7">
        <f>$B13 * IFERROR(VLOOKUP("industry|PM25|Non-fatal heart attacks", US_national_yearly!$D:$AM, 32, FALSE) / VLOOKUP("industry|PM25|Non-fatal heart attacks", US_national_yearly!$D:$AM, 10, FALSE), 1)</f>
        <v>3.9822502995387879E-2</v>
      </c>
      <c r="Y13" s="7">
        <f>$B13 * IFERROR(VLOOKUP("industry|PM25|Non-fatal heart attacks", US_national_yearly!$D:$AM, 33, FALSE) / VLOOKUP("industry|PM25|Non-fatal heart attacks", US_national_yearly!$D:$AM, 10, FALSE), 1)</f>
        <v>3.9990943456427251E-2</v>
      </c>
      <c r="Z13" s="7">
        <f>$B13 * IFERROR(VLOOKUP("industry|PM25|Non-fatal heart attacks", US_national_yearly!$D:$AM, 34, FALSE) / VLOOKUP("industry|PM25|Non-fatal heart attacks", US_national_yearly!$D:$AM, 10, FALSE), 1)</f>
        <v>4.015938391746663E-2</v>
      </c>
      <c r="AA13" s="7">
        <f>$B13 * IFERROR(VLOOKUP("industry|PM25|Non-fatal heart attacks", US_national_yearly!$D:$AM, 35, FALSE) / VLOOKUP("industry|PM25|Non-fatal heart attacks", US_national_yearly!$D:$AM, 10, FALSE), 1)</f>
        <v>4.0327824378506003E-2</v>
      </c>
      <c r="AB13" s="7">
        <f>$B13 * IFERROR(VLOOKUP("industry|PM25|Non-fatal heart attacks", US_national_yearly!$D:$AM, 36, FALSE) / VLOOKUP("industry|PM25|Non-fatal heart attacks", US_national_yearly!$D:$AM, 10, FALSE), 1)</f>
        <v>4.0496264839545382E-2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24.175677897858503</v>
      </c>
      <c r="C14" s="7">
        <f>$B14 * IFERROR(VLOOKUP("industry|PM25|Minor restricted activity days", US_national_yearly!$D:$AM, 11, FALSE) / VLOOKUP("industry|PM25|Minor restricted activity days", US_national_yearly!$D:$AM, 10, FALSE), 1)</f>
        <v>24.234888140288774</v>
      </c>
      <c r="D14" s="7">
        <f>$B14 * IFERROR(VLOOKUP("industry|PM25|Minor restricted activity days", US_national_yearly!$D:$AM, 12, FALSE) / VLOOKUP("industry|PM25|Minor restricted activity days", US_national_yearly!$D:$AM, 10, FALSE), 1)</f>
        <v>24.294098382719049</v>
      </c>
      <c r="E14" s="7">
        <f>$B14 * IFERROR(VLOOKUP("industry|PM25|Minor restricted activity days", US_national_yearly!$D:$AM, 13, FALSE) / VLOOKUP("industry|PM25|Minor restricted activity days", US_national_yearly!$D:$AM, 10, FALSE), 1)</f>
        <v>24.353308625149317</v>
      </c>
      <c r="F14" s="7">
        <f>$B14 * IFERROR(VLOOKUP("industry|PM25|Minor restricted activity days", US_national_yearly!$D:$AM, 14, FALSE) / VLOOKUP("industry|PM25|Minor restricted activity days", US_national_yearly!$D:$AM, 10, FALSE), 1)</f>
        <v>24.412518867579589</v>
      </c>
      <c r="G14" s="7">
        <f>$B14 * IFERROR(VLOOKUP("industry|PM25|Minor restricted activity days", US_national_yearly!$D:$AM, 15, FALSE) / VLOOKUP("industry|PM25|Minor restricted activity days", US_national_yearly!$D:$AM, 10, FALSE), 1)</f>
        <v>24.499429880105343</v>
      </c>
      <c r="H14" s="7">
        <f>$B14 * IFERROR(VLOOKUP("industry|PM25|Minor restricted activity days", US_national_yearly!$D:$AM, 16, FALSE) / VLOOKUP("industry|PM25|Minor restricted activity days", US_national_yearly!$D:$AM, 10, FALSE), 1)</f>
        <v>24.586340892631092</v>
      </c>
      <c r="I14" s="7">
        <f>$B14 * IFERROR(VLOOKUP("industry|PM25|Minor restricted activity days", US_national_yearly!$D:$AM, 17, FALSE) / VLOOKUP("industry|PM25|Minor restricted activity days", US_national_yearly!$D:$AM, 10, FALSE), 1)</f>
        <v>24.73398035570861</v>
      </c>
      <c r="J14" s="7">
        <f>$B14 * IFERROR(VLOOKUP("industry|PM25|Minor restricted activity days", US_national_yearly!$D:$AM, 18, FALSE) / VLOOKUP("industry|PM25|Minor restricted activity days", US_national_yearly!$D:$AM, 10, FALSE), 1)</f>
        <v>24.881619818786131</v>
      </c>
      <c r="K14" s="7">
        <f>$B14 * IFERROR(VLOOKUP("industry|PM25|Minor restricted activity days", US_national_yearly!$D:$AM, 19, FALSE) / VLOOKUP("industry|PM25|Minor restricted activity days", US_national_yearly!$D:$AM, 10, FALSE), 1)</f>
        <v>25.029259281863641</v>
      </c>
      <c r="L14" s="7">
        <f>$B14 * IFERROR(VLOOKUP("industry|PM25|Minor restricted activity days", US_national_yearly!$D:$AM, 20, FALSE) / VLOOKUP("industry|PM25|Minor restricted activity days", US_national_yearly!$D:$AM, 10, FALSE), 1)</f>
        <v>25.176898744941159</v>
      </c>
      <c r="M14" s="7">
        <f>$B14 * IFERROR(VLOOKUP("industry|PM25|Minor restricted activity days", US_national_yearly!$D:$AM, 21, FALSE) / VLOOKUP("industry|PM25|Minor restricted activity days", US_national_yearly!$D:$AM, 10, FALSE), 1)</f>
        <v>25.324538208018676</v>
      </c>
      <c r="N14" s="7">
        <f>$B14 * IFERROR(VLOOKUP("industry|PM25|Minor restricted activity days", US_national_yearly!$D:$AM, 22, FALSE) / VLOOKUP("industry|PM25|Minor restricted activity days", US_national_yearly!$D:$AM, 10, FALSE), 1)</f>
        <v>25.526228292640479</v>
      </c>
      <c r="O14" s="7">
        <f>$B14 * IFERROR(VLOOKUP("industry|PM25|Minor restricted activity days", US_national_yearly!$D:$AM, 23, FALSE) / VLOOKUP("industry|PM25|Minor restricted activity days", US_national_yearly!$D:$AM, 10, FALSE), 1)</f>
        <v>25.727918377262302</v>
      </c>
      <c r="P14" s="7">
        <f>$B14 * IFERROR(VLOOKUP("industry|PM25|Minor restricted activity days", US_national_yearly!$D:$AM, 24, FALSE) / VLOOKUP("industry|PM25|Minor restricted activity days", US_national_yearly!$D:$AM, 10, FALSE), 1)</f>
        <v>25.929608461884104</v>
      </c>
      <c r="Q14" s="7">
        <f>$B14 * IFERROR(VLOOKUP("industry|PM25|Minor restricted activity days", US_national_yearly!$D:$AM, 25, FALSE) / VLOOKUP("industry|PM25|Minor restricted activity days", US_national_yearly!$D:$AM, 10, FALSE), 1)</f>
        <v>26.131298546505935</v>
      </c>
      <c r="R14" s="7">
        <f>$B14 * IFERROR(VLOOKUP("industry|PM25|Minor restricted activity days", US_national_yearly!$D:$AM, 26, FALSE) / VLOOKUP("industry|PM25|Minor restricted activity days", US_national_yearly!$D:$AM, 10, FALSE), 1)</f>
        <v>26.332988631127737</v>
      </c>
      <c r="S14" s="7">
        <f>$B14 * IFERROR(VLOOKUP("industry|PM25|Minor restricted activity days", US_national_yearly!$D:$AM, 27, FALSE) / VLOOKUP("industry|PM25|Minor restricted activity days", US_national_yearly!$D:$AM, 10, FALSE), 1)</f>
        <v>26.536615019442301</v>
      </c>
      <c r="T14" s="7">
        <f>$B14 * IFERROR(VLOOKUP("industry|PM25|Minor restricted activity days", US_national_yearly!$D:$AM, 28, FALSE) / VLOOKUP("industry|PM25|Minor restricted activity days", US_national_yearly!$D:$AM, 10, FALSE), 1)</f>
        <v>26.740241407756873</v>
      </c>
      <c r="U14" s="7">
        <f>$B14 * IFERROR(VLOOKUP("industry|PM25|Minor restricted activity days", US_national_yearly!$D:$AM, 29, FALSE) / VLOOKUP("industry|PM25|Minor restricted activity days", US_national_yearly!$D:$AM, 10, FALSE), 1)</f>
        <v>26.943867796071437</v>
      </c>
      <c r="V14" s="7">
        <f>$B14 * IFERROR(VLOOKUP("industry|PM25|Minor restricted activity days", US_national_yearly!$D:$AM, 30, FALSE) / VLOOKUP("industry|PM25|Minor restricted activity days", US_national_yearly!$D:$AM, 10, FALSE), 1)</f>
        <v>27.147494184386002</v>
      </c>
      <c r="W14" s="7">
        <f>$B14 * IFERROR(VLOOKUP("industry|PM25|Minor restricted activity days", US_national_yearly!$D:$AM, 31, FALSE) / VLOOKUP("industry|PM25|Minor restricted activity days", US_national_yearly!$D:$AM, 10, FALSE), 1)</f>
        <v>27.351120572700573</v>
      </c>
      <c r="X14" s="7">
        <f>$B14 * IFERROR(VLOOKUP("industry|PM25|Minor restricted activity days", US_national_yearly!$D:$AM, 32, FALSE) / VLOOKUP("industry|PM25|Minor restricted activity days", US_national_yearly!$D:$AM, 10, FALSE), 1)</f>
        <v>27.528064446740938</v>
      </c>
      <c r="Y14" s="7">
        <f>$B14 * IFERROR(VLOOKUP("industry|PM25|Minor restricted activity days", US_national_yearly!$D:$AM, 33, FALSE) / VLOOKUP("industry|PM25|Minor restricted activity days", US_national_yearly!$D:$AM, 10, FALSE), 1)</f>
        <v>27.705008320781314</v>
      </c>
      <c r="Z14" s="7">
        <f>$B14 * IFERROR(VLOOKUP("industry|PM25|Minor restricted activity days", US_national_yearly!$D:$AM, 34, FALSE) / VLOOKUP("industry|PM25|Minor restricted activity days", US_national_yearly!$D:$AM, 10, FALSE), 1)</f>
        <v>27.881952194821686</v>
      </c>
      <c r="AA14" s="7">
        <f>$B14 * IFERROR(VLOOKUP("industry|PM25|Minor restricted activity days", US_national_yearly!$D:$AM, 35, FALSE) / VLOOKUP("industry|PM25|Minor restricted activity days", US_national_yearly!$D:$AM, 10, FALSE), 1)</f>
        <v>28.058896068862058</v>
      </c>
      <c r="AB14" s="7">
        <f>$B14 * IFERROR(VLOOKUP("industry|PM25|Minor restricted activity days", US_national_yearly!$D:$AM, 36, FALSE) / VLOOKUP("industry|PM25|Minor restricted activity days", US_national_yearly!$D:$AM, 10, FALSE), 1)</f>
        <v>28.235839942902434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4.1336540076771682</v>
      </c>
      <c r="C15" s="7">
        <f>$B15 * IFERROR(VLOOKUP("industry|PM25|Work loss days", US_national_yearly!$D:$AM, 11, FALSE) / VLOOKUP("industry|PM25|Work loss days", US_national_yearly!$D:$AM, 10, FALSE), 1)</f>
        <v>4.1464699947610493</v>
      </c>
      <c r="D15" s="7">
        <f>$B15 * IFERROR(VLOOKUP("industry|PM25|Work loss days", US_national_yearly!$D:$AM, 12, FALSE) / VLOOKUP("industry|PM25|Work loss days", US_national_yearly!$D:$AM, 10, FALSE), 1)</f>
        <v>4.1592859818449313</v>
      </c>
      <c r="E15" s="7">
        <f>$B15 * IFERROR(VLOOKUP("industry|PM25|Work loss days", US_national_yearly!$D:$AM, 13, FALSE) / VLOOKUP("industry|PM25|Work loss days", US_national_yearly!$D:$AM, 10, FALSE), 1)</f>
        <v>4.1721019689288115</v>
      </c>
      <c r="F15" s="7">
        <f>$B15 * IFERROR(VLOOKUP("industry|PM25|Work loss days", US_national_yearly!$D:$AM, 14, FALSE) / VLOOKUP("industry|PM25|Work loss days", US_national_yearly!$D:$AM, 10, FALSE), 1)</f>
        <v>4.1849179560126935</v>
      </c>
      <c r="G15" s="7">
        <f>$B15 * IFERROR(VLOOKUP("industry|PM25|Work loss days", US_national_yearly!$D:$AM, 15, FALSE) / VLOOKUP("industry|PM25|Work loss days", US_national_yearly!$D:$AM, 10, FALSE), 1)</f>
        <v>4.2016497882966677</v>
      </c>
      <c r="H15" s="7">
        <f>$B15 * IFERROR(VLOOKUP("industry|PM25|Work loss days", US_national_yearly!$D:$AM, 16, FALSE) / VLOOKUP("industry|PM25|Work loss days", US_national_yearly!$D:$AM, 10, FALSE), 1)</f>
        <v>4.2183816205806428</v>
      </c>
      <c r="I15" s="7">
        <f>$B15 * IFERROR(VLOOKUP("industry|PM25|Work loss days", US_national_yearly!$D:$AM, 17, FALSE) / VLOOKUP("industry|PM25|Work loss days", US_national_yearly!$D:$AM, 10, FALSE), 1)</f>
        <v>4.242882348181193</v>
      </c>
      <c r="J15" s="7">
        <f>$B15 * IFERROR(VLOOKUP("industry|PM25|Work loss days", US_national_yearly!$D:$AM, 18, FALSE) / VLOOKUP("industry|PM25|Work loss days", US_national_yearly!$D:$AM, 10, FALSE), 1)</f>
        <v>4.2673830757817441</v>
      </c>
      <c r="K15" s="7">
        <f>$B15 * IFERROR(VLOOKUP("industry|PM25|Work loss days", US_national_yearly!$D:$AM, 19, FALSE) / VLOOKUP("industry|PM25|Work loss days", US_national_yearly!$D:$AM, 10, FALSE), 1)</f>
        <v>4.2918838033822935</v>
      </c>
      <c r="L15" s="7">
        <f>$B15 * IFERROR(VLOOKUP("industry|PM25|Work loss days", US_national_yearly!$D:$AM, 20, FALSE) / VLOOKUP("industry|PM25|Work loss days", US_national_yearly!$D:$AM, 10, FALSE), 1)</f>
        <v>4.3163845309828446</v>
      </c>
      <c r="M15" s="7">
        <f>$B15 * IFERROR(VLOOKUP("industry|PM25|Work loss days", US_national_yearly!$D:$AM, 21, FALSE) / VLOOKUP("industry|PM25|Work loss days", US_national_yearly!$D:$AM, 10, FALSE), 1)</f>
        <v>4.3408852585833948</v>
      </c>
      <c r="N15" s="7">
        <f>$B15 * IFERROR(VLOOKUP("industry|PM25|Work loss days", US_national_yearly!$D:$AM, 22, FALSE) / VLOOKUP("industry|PM25|Work loss days", US_national_yearly!$D:$AM, 10, FALSE), 1)</f>
        <v>4.3718019609015766</v>
      </c>
      <c r="O15" s="7">
        <f>$B15 * IFERROR(VLOOKUP("industry|PM25|Work loss days", US_national_yearly!$D:$AM, 23, FALSE) / VLOOKUP("industry|PM25|Work loss days", US_national_yearly!$D:$AM, 10, FALSE), 1)</f>
        <v>4.4027186632197592</v>
      </c>
      <c r="P15" s="7">
        <f>$B15 * IFERROR(VLOOKUP("industry|PM25|Work loss days", US_national_yearly!$D:$AM, 24, FALSE) / VLOOKUP("industry|PM25|Work loss days", US_national_yearly!$D:$AM, 10, FALSE), 1)</f>
        <v>4.4336353655379401</v>
      </c>
      <c r="Q15" s="7">
        <f>$B15 * IFERROR(VLOOKUP("industry|PM25|Work loss days", US_national_yearly!$D:$AM, 25, FALSE) / VLOOKUP("industry|PM25|Work loss days", US_national_yearly!$D:$AM, 10, FALSE), 1)</f>
        <v>4.4645520678561219</v>
      </c>
      <c r="R15" s="7">
        <f>$B15 * IFERROR(VLOOKUP("industry|PM25|Work loss days", US_national_yearly!$D:$AM, 26, FALSE) / VLOOKUP("industry|PM25|Work loss days", US_national_yearly!$D:$AM, 10, FALSE), 1)</f>
        <v>4.4954687701743028</v>
      </c>
      <c r="S15" s="7">
        <f>$B15 * IFERROR(VLOOKUP("industry|PM25|Work loss days", US_national_yearly!$D:$AM, 27, FALSE) / VLOOKUP("industry|PM25|Work loss days", US_national_yearly!$D:$AM, 10, FALSE), 1)</f>
        <v>4.5297510100314131</v>
      </c>
      <c r="T15" s="7">
        <f>$B15 * IFERROR(VLOOKUP("industry|PM25|Work loss days", US_national_yearly!$D:$AM, 28, FALSE) / VLOOKUP("industry|PM25|Work loss days", US_national_yearly!$D:$AM, 10, FALSE), 1)</f>
        <v>4.5640332498885217</v>
      </c>
      <c r="U15" s="7">
        <f>$B15 * IFERROR(VLOOKUP("industry|PM25|Work loss days", US_national_yearly!$D:$AM, 29, FALSE) / VLOOKUP("industry|PM25|Work loss days", US_national_yearly!$D:$AM, 10, FALSE), 1)</f>
        <v>4.5983154897456302</v>
      </c>
      <c r="V15" s="7">
        <f>$B15 * IFERROR(VLOOKUP("industry|PM25|Work loss days", US_national_yearly!$D:$AM, 30, FALSE) / VLOOKUP("industry|PM25|Work loss days", US_national_yearly!$D:$AM, 10, FALSE), 1)</f>
        <v>4.6325977296027396</v>
      </c>
      <c r="W15" s="7">
        <f>$B15 * IFERROR(VLOOKUP("industry|PM25|Work loss days", US_national_yearly!$D:$AM, 31, FALSE) / VLOOKUP("industry|PM25|Work loss days", US_national_yearly!$D:$AM, 10, FALSE), 1)</f>
        <v>4.6668799694598491</v>
      </c>
      <c r="X15" s="7">
        <f>$B15 * IFERROR(VLOOKUP("industry|PM25|Work loss days", US_national_yearly!$D:$AM, 32, FALSE) / VLOOKUP("industry|PM25|Work loss days", US_national_yearly!$D:$AM, 10, FALSE), 1)</f>
        <v>4.6973442473459333</v>
      </c>
      <c r="Y15" s="7">
        <f>$B15 * IFERROR(VLOOKUP("industry|PM25|Work loss days", US_national_yearly!$D:$AM, 33, FALSE) / VLOOKUP("industry|PM25|Work loss days", US_national_yearly!$D:$AM, 10, FALSE), 1)</f>
        <v>4.7278085252320183</v>
      </c>
      <c r="Z15" s="7">
        <f>$B15 * IFERROR(VLOOKUP("industry|PM25|Work loss days", US_national_yearly!$D:$AM, 34, FALSE) / VLOOKUP("industry|PM25|Work loss days", US_national_yearly!$D:$AM, 10, FALSE), 1)</f>
        <v>4.7582728031181034</v>
      </c>
      <c r="AA15" s="7">
        <f>$B15 * IFERROR(VLOOKUP("industry|PM25|Work loss days", US_national_yearly!$D:$AM, 35, FALSE) / VLOOKUP("industry|PM25|Work loss days", US_national_yearly!$D:$AM, 10, FALSE), 1)</f>
        <v>4.7887370810041867</v>
      </c>
      <c r="AB15" s="7">
        <f>$B15 * IFERROR(VLOOKUP("industry|PM25|Work loss days", US_national_yearly!$D:$AM, 36, FALSE) / VLOOKUP("industry|PM25|Work loss days", US_national_yearly!$D:$AM, 10, FALSE), 1)</f>
        <v>4.8192013588902718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6.8888346620370354E-3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7.0948841233517508E-3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7.3009335846664671E-3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7.5069830459811825E-3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7.713032507295897E-3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7.91051606418588E-3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8.107999621075862E-3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8.27755656101559E-3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8.4471135009553146E-3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8.6166704408950426E-3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8.7862273808347706E-3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8.9557843207744969E-3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9.0690489959089609E-3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9.1823136710434215E-3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9.295578346177882E-3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9.4088430213123443E-3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9.5221076964468049E-3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9.5827921626542578E-3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9.643476628861709E-3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9.704161095069162E-3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9.7648455612766114E-3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9.8255300274840626E-3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9.8672017200524507E-3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9.9088734126208371E-3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9.9505451051892235E-3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9.9922167977576082E-3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1.0033888490325995E-2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1.0115354655992389E-3</v>
      </c>
      <c r="C2" s="7">
        <f>$B2 * IFERROR(VLOOKUP("industry|NOx|Premature mortality", US_national_yearly!$D:$AM, 11, FALSE) / VLOOKUP("industry|NOx|Premature mortality", US_national_yearly!$D:$AM, 10, FALSE), 1)</f>
        <v>1.0264927750227668E-3</v>
      </c>
      <c r="D2" s="7">
        <f>$B2 * IFERROR(VLOOKUP("industry|NOx|Premature mortality", US_national_yearly!$D:$AM, 12, FALSE) / VLOOKUP("industry|NOx|Premature mortality", US_national_yearly!$D:$AM, 10, FALSE), 1)</f>
        <v>1.041450084446295E-3</v>
      </c>
      <c r="E2" s="7">
        <f>$B2 * IFERROR(VLOOKUP("industry|NOx|Premature mortality", US_national_yearly!$D:$AM, 13, FALSE) / VLOOKUP("industry|NOx|Premature mortality", US_national_yearly!$D:$AM, 10, FALSE), 1)</f>
        <v>1.0564073938698227E-3</v>
      </c>
      <c r="F2" s="7">
        <f>$B2 * IFERROR(VLOOKUP("industry|NOx|Premature mortality", US_national_yearly!$D:$AM, 14, FALSE) / VLOOKUP("industry|NOx|Premature mortality", US_national_yearly!$D:$AM, 10, FALSE), 1)</f>
        <v>1.0713647032933509E-3</v>
      </c>
      <c r="G2" s="7">
        <f>$B2 * IFERROR(VLOOKUP("industry|NOx|Premature mortality", US_national_yearly!$D:$AM, 15, FALSE) / VLOOKUP("industry|NOx|Premature mortality", US_national_yearly!$D:$AM, 10, FALSE), 1)</f>
        <v>1.0981887603402271E-3</v>
      </c>
      <c r="H2" s="7">
        <f>$B2 * IFERROR(VLOOKUP("industry|NOx|Premature mortality", US_national_yearly!$D:$AM, 16, FALSE) / VLOOKUP("industry|NOx|Premature mortality", US_national_yearly!$D:$AM, 10, FALSE), 1)</f>
        <v>1.1250128173871034E-3</v>
      </c>
      <c r="I2" s="7">
        <f>$B2 * IFERROR(VLOOKUP("industry|NOx|Premature mortality", US_national_yearly!$D:$AM, 17, FALSE) / VLOOKUP("industry|NOx|Premature mortality", US_national_yearly!$D:$AM, 10, FALSE), 1)</f>
        <v>1.1424144857821003E-3</v>
      </c>
      <c r="J2" s="7">
        <f>$B2 * IFERROR(VLOOKUP("industry|NOx|Premature mortality", US_national_yearly!$D:$AM, 18, FALSE) / VLOOKUP("industry|NOx|Premature mortality", US_national_yearly!$D:$AM, 10, FALSE), 1)</f>
        <v>1.1598161541770972E-3</v>
      </c>
      <c r="K2" s="7">
        <f>$B2 * IFERROR(VLOOKUP("industry|NOx|Premature mortality", US_national_yearly!$D:$AM, 19, FALSE) / VLOOKUP("industry|NOx|Premature mortality", US_national_yearly!$D:$AM, 10, FALSE), 1)</f>
        <v>1.1772178225720944E-3</v>
      </c>
      <c r="L2" s="7">
        <f>$B2 * IFERROR(VLOOKUP("industry|NOx|Premature mortality", US_national_yearly!$D:$AM, 20, FALSE) / VLOOKUP("industry|NOx|Premature mortality", US_national_yearly!$D:$AM, 10, FALSE), 1)</f>
        <v>1.1946194909670913E-3</v>
      </c>
      <c r="M2" s="7">
        <f>$B2 * IFERROR(VLOOKUP("industry|NOx|Premature mortality", US_national_yearly!$D:$AM, 21, FALSE) / VLOOKUP("industry|NOx|Premature mortality", US_national_yearly!$D:$AM, 10, FALSE), 1)</f>
        <v>1.2120211593620882E-3</v>
      </c>
      <c r="N2" s="7">
        <f>$B2 * IFERROR(VLOOKUP("industry|NOx|Premature mortality", US_national_yearly!$D:$AM, 22, FALSE) / VLOOKUP("industry|NOx|Premature mortality", US_national_yearly!$D:$AM, 10, FALSE), 1)</f>
        <v>1.224970271399453E-3</v>
      </c>
      <c r="O2" s="7">
        <f>$B2 * IFERROR(VLOOKUP("industry|NOx|Premature mortality", US_national_yearly!$D:$AM, 23, FALSE) / VLOOKUP("industry|NOx|Premature mortality", US_national_yearly!$D:$AM, 10, FALSE), 1)</f>
        <v>1.2379193834368173E-3</v>
      </c>
      <c r="P2" s="7">
        <f>$B2 * IFERROR(VLOOKUP("industry|NOx|Premature mortality", US_national_yearly!$D:$AM, 24, FALSE) / VLOOKUP("industry|NOx|Premature mortality", US_national_yearly!$D:$AM, 10, FALSE), 1)</f>
        <v>1.2508684954741817E-3</v>
      </c>
      <c r="Q2" s="7">
        <f>$B2 * IFERROR(VLOOKUP("industry|NOx|Premature mortality", US_national_yearly!$D:$AM, 25, FALSE) / VLOOKUP("industry|NOx|Premature mortality", US_national_yearly!$D:$AM, 10, FALSE), 1)</f>
        <v>1.263817607511546E-3</v>
      </c>
      <c r="R2" s="7">
        <f>$B2 * IFERROR(VLOOKUP("industry|NOx|Premature mortality", US_national_yearly!$D:$AM, 26, FALSE) / VLOOKUP("industry|NOx|Premature mortality", US_national_yearly!$D:$AM, 10, FALSE), 1)</f>
        <v>1.2767667195489106E-3</v>
      </c>
      <c r="S2" s="7">
        <f>$B2 * IFERROR(VLOOKUP("industry|NOx|Premature mortality", US_national_yearly!$D:$AM, 27, FALSE) / VLOOKUP("industry|NOx|Premature mortality", US_national_yearly!$D:$AM, 10, FALSE), 1)</f>
        <v>1.2827966079091916E-3</v>
      </c>
      <c r="T2" s="7">
        <f>$B2 * IFERROR(VLOOKUP("industry|NOx|Premature mortality", US_national_yearly!$D:$AM, 28, FALSE) / VLOOKUP("industry|NOx|Premature mortality", US_national_yearly!$D:$AM, 10, FALSE), 1)</f>
        <v>1.2888264962694726E-3</v>
      </c>
      <c r="U2" s="7">
        <f>$B2 * IFERROR(VLOOKUP("industry|NOx|Premature mortality", US_national_yearly!$D:$AM, 29, FALSE) / VLOOKUP("industry|NOx|Premature mortality", US_national_yearly!$D:$AM, 10, FALSE), 1)</f>
        <v>1.2948563846297539E-3</v>
      </c>
      <c r="V2" s="7">
        <f>$B2 * IFERROR(VLOOKUP("industry|NOx|Premature mortality", US_national_yearly!$D:$AM, 30, FALSE) / VLOOKUP("industry|NOx|Premature mortality", US_national_yearly!$D:$AM, 10, FALSE), 1)</f>
        <v>1.3008862729900349E-3</v>
      </c>
      <c r="W2" s="7">
        <f>$B2 * IFERROR(VLOOKUP("industry|NOx|Premature mortality", US_national_yearly!$D:$AM, 31, FALSE) / VLOOKUP("industry|NOx|Premature mortality", US_national_yearly!$D:$AM, 10, FALSE), 1)</f>
        <v>1.3069161613503159E-3</v>
      </c>
      <c r="X2" s="7">
        <f>$B2 * IFERROR(VLOOKUP("industry|NOx|Premature mortality", US_national_yearly!$D:$AM, 32, FALSE) / VLOOKUP("industry|NOx|Premature mortality", US_national_yearly!$D:$AM, 10, FALSE), 1)</f>
        <v>1.3073769847034543E-3</v>
      </c>
      <c r="Y2" s="7">
        <f>$B2 * IFERROR(VLOOKUP("industry|NOx|Premature mortality", US_national_yearly!$D:$AM, 33, FALSE) / VLOOKUP("industry|NOx|Premature mortality", US_national_yearly!$D:$AM, 10, FALSE), 1)</f>
        <v>1.3078378080565928E-3</v>
      </c>
      <c r="Z2" s="7">
        <f>$B2 * IFERROR(VLOOKUP("industry|NOx|Premature mortality", US_national_yearly!$D:$AM, 34, FALSE) / VLOOKUP("industry|NOx|Premature mortality", US_national_yearly!$D:$AM, 10, FALSE), 1)</f>
        <v>1.3082986314097312E-3</v>
      </c>
      <c r="AA2" s="7">
        <f>$B2 * IFERROR(VLOOKUP("industry|NOx|Premature mortality", US_national_yearly!$D:$AM, 35, FALSE) / VLOOKUP("industry|NOx|Premature mortality", US_national_yearly!$D:$AM, 10, FALSE), 1)</f>
        <v>1.3087594547628698E-3</v>
      </c>
      <c r="AB2" s="7">
        <f>$B2 * IFERROR(VLOOKUP("industry|NOx|Premature mortality", US_national_yearly!$D:$AM, 36, FALSE) / VLOOKUP("industry|NOx|Premature mortality", US_national_yearly!$D:$AM, 10, FALSE), 1)</f>
        <v>1.3092202781160081E-3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2.045069368979649E-6</v>
      </c>
      <c r="C3" s="7">
        <f>$B3 * IFERROR(VLOOKUP("industry|NOx|Infant mortality", US_national_yearly!$D:$AM, 11, FALSE) / VLOOKUP("industry|NOx|Infant mortality", US_national_yearly!$D:$AM, 10, FALSE), 1)</f>
        <v>2.0254840823500601E-6</v>
      </c>
      <c r="D3" s="7">
        <f>$B3 * IFERROR(VLOOKUP("industry|NOx|Infant mortality", US_national_yearly!$D:$AM, 12, FALSE) / VLOOKUP("industry|NOx|Infant mortality", US_national_yearly!$D:$AM, 10, FALSE), 1)</f>
        <v>2.0058987957204707E-6</v>
      </c>
      <c r="E3" s="7">
        <f>$B3 * IFERROR(VLOOKUP("industry|NOx|Infant mortality", US_national_yearly!$D:$AM, 13, FALSE) / VLOOKUP("industry|NOx|Infant mortality", US_national_yearly!$D:$AM, 10, FALSE), 1)</f>
        <v>1.9863135090908817E-6</v>
      </c>
      <c r="F3" s="7">
        <f>$B3 * IFERROR(VLOOKUP("industry|NOx|Infant mortality", US_national_yearly!$D:$AM, 14, FALSE) / VLOOKUP("industry|NOx|Infant mortality", US_national_yearly!$D:$AM, 10, FALSE), 1)</f>
        <v>1.9667282224612923E-6</v>
      </c>
      <c r="G3" s="7">
        <f>$B3 * IFERROR(VLOOKUP("industry|NOx|Infant mortality", US_national_yearly!$D:$AM, 15, FALSE) / VLOOKUP("industry|NOx|Infant mortality", US_national_yearly!$D:$AM, 10, FALSE), 1)</f>
        <v>1.304507692574396E-6</v>
      </c>
      <c r="H3" s="7">
        <f>$B3 * IFERROR(VLOOKUP("industry|NOx|Infant mortality", US_national_yearly!$D:$AM, 16, FALSE) / VLOOKUP("industry|NOx|Infant mortality", US_national_yearly!$D:$AM, 10, FALSE), 1)</f>
        <v>6.4228716268750021E-7</v>
      </c>
      <c r="I3" s="7">
        <f>$B3 * IFERROR(VLOOKUP("industry|NOx|Infant mortality", US_national_yearly!$D:$AM, 17, FALSE) / VLOOKUP("industry|NOx|Infant mortality", US_national_yearly!$D:$AM, 10, FALSE), 1)</f>
        <v>6.3765654956038216E-7</v>
      </c>
      <c r="J3" s="7">
        <f>$B3 * IFERROR(VLOOKUP("industry|NOx|Infant mortality", US_national_yearly!$D:$AM, 18, FALSE) / VLOOKUP("industry|NOx|Infant mortality", US_national_yearly!$D:$AM, 10, FALSE), 1)</f>
        <v>6.3302593643326431E-7</v>
      </c>
      <c r="K3" s="7">
        <f>$B3 * IFERROR(VLOOKUP("industry|NOx|Infant mortality", US_national_yearly!$D:$AM, 19, FALSE) / VLOOKUP("industry|NOx|Infant mortality", US_national_yearly!$D:$AM, 10, FALSE), 1)</f>
        <v>6.2839532330614626E-7</v>
      </c>
      <c r="L3" s="7">
        <f>$B3 * IFERROR(VLOOKUP("industry|NOx|Infant mortality", US_national_yearly!$D:$AM, 20, FALSE) / VLOOKUP("industry|NOx|Infant mortality", US_national_yearly!$D:$AM, 10, FALSE), 1)</f>
        <v>6.237647101790282E-7</v>
      </c>
      <c r="M3" s="7">
        <f>$B3 * IFERROR(VLOOKUP("industry|NOx|Infant mortality", US_national_yearly!$D:$AM, 21, FALSE) / VLOOKUP("industry|NOx|Infant mortality", US_national_yearly!$D:$AM, 10, FALSE), 1)</f>
        <v>6.1913409705191015E-7</v>
      </c>
      <c r="N3" s="7">
        <f>$B3 * IFERROR(VLOOKUP("industry|NOx|Infant mortality", US_national_yearly!$D:$AM, 22, FALSE) / VLOOKUP("industry|NOx|Infant mortality", US_national_yearly!$D:$AM, 10, FALSE), 1)</f>
        <v>6.1601419879974665E-7</v>
      </c>
      <c r="O3" s="7">
        <f>$B3 * IFERROR(VLOOKUP("industry|NOx|Infant mortality", US_national_yearly!$D:$AM, 23, FALSE) / VLOOKUP("industry|NOx|Infant mortality", US_national_yearly!$D:$AM, 10, FALSE), 1)</f>
        <v>6.1289430054758304E-7</v>
      </c>
      <c r="P3" s="7">
        <f>$B3 * IFERROR(VLOOKUP("industry|NOx|Infant mortality", US_national_yearly!$D:$AM, 24, FALSE) / VLOOKUP("industry|NOx|Infant mortality", US_national_yearly!$D:$AM, 10, FALSE), 1)</f>
        <v>6.0977440229541954E-7</v>
      </c>
      <c r="Q3" s="7">
        <f>$B3 * IFERROR(VLOOKUP("industry|NOx|Infant mortality", US_national_yearly!$D:$AM, 25, FALSE) / VLOOKUP("industry|NOx|Infant mortality", US_national_yearly!$D:$AM, 10, FALSE), 1)</f>
        <v>6.0665450404325604E-7</v>
      </c>
      <c r="R3" s="7">
        <f>$B3 * IFERROR(VLOOKUP("industry|NOx|Infant mortality", US_national_yearly!$D:$AM, 26, FALSE) / VLOOKUP("industry|NOx|Infant mortality", US_national_yearly!$D:$AM, 10, FALSE), 1)</f>
        <v>6.0353460579109254E-7</v>
      </c>
      <c r="S3" s="7">
        <f>$B3 * IFERROR(VLOOKUP("industry|NOx|Infant mortality", US_national_yearly!$D:$AM, 27, FALSE) / VLOOKUP("industry|NOx|Infant mortality", US_national_yearly!$D:$AM, 10, FALSE), 1)</f>
        <v>5.9982978239442512E-7</v>
      </c>
      <c r="T3" s="7">
        <f>$B3 * IFERROR(VLOOKUP("industry|NOx|Infant mortality", US_national_yearly!$D:$AM, 28, FALSE) / VLOOKUP("industry|NOx|Infant mortality", US_national_yearly!$D:$AM, 10, FALSE), 1)</f>
        <v>5.9612495899775781E-7</v>
      </c>
      <c r="U3" s="7">
        <f>$B3 * IFERROR(VLOOKUP("industry|NOx|Infant mortality", US_national_yearly!$D:$AM, 29, FALSE) / VLOOKUP("industry|NOx|Infant mortality", US_national_yearly!$D:$AM, 10, FALSE), 1)</f>
        <v>5.9242013560109049E-7</v>
      </c>
      <c r="V3" s="7">
        <f>$B3 * IFERROR(VLOOKUP("industry|NOx|Infant mortality", US_national_yearly!$D:$AM, 30, FALSE) / VLOOKUP("industry|NOx|Infant mortality", US_national_yearly!$D:$AM, 10, FALSE), 1)</f>
        <v>5.8871531220442318E-7</v>
      </c>
      <c r="W3" s="7">
        <f>$B3 * IFERROR(VLOOKUP("industry|NOx|Infant mortality", US_national_yearly!$D:$AM, 31, FALSE) / VLOOKUP("industry|NOx|Infant mortality", US_national_yearly!$D:$AM, 10, FALSE), 1)</f>
        <v>5.8501048880775597E-7</v>
      </c>
      <c r="X3" s="7">
        <f>$B3 * IFERROR(VLOOKUP("industry|NOx|Infant mortality", US_national_yearly!$D:$AM, 32, FALSE) / VLOOKUP("industry|NOx|Infant mortality", US_national_yearly!$D:$AM, 10, FALSE), 1)</f>
        <v>5.8112001401330583E-7</v>
      </c>
      <c r="Y3" s="7">
        <f>$B3 * IFERROR(VLOOKUP("industry|NOx|Infant mortality", US_national_yearly!$D:$AM, 33, FALSE) / VLOOKUP("industry|NOx|Infant mortality", US_national_yearly!$D:$AM, 10, FALSE), 1)</f>
        <v>5.772295392188558E-7</v>
      </c>
      <c r="Z3" s="7">
        <f>$B3 * IFERROR(VLOOKUP("industry|NOx|Infant mortality", US_national_yearly!$D:$AM, 34, FALSE) / VLOOKUP("industry|NOx|Infant mortality", US_national_yearly!$D:$AM, 10, FALSE), 1)</f>
        <v>5.7333906442440577E-7</v>
      </c>
      <c r="AA3" s="7">
        <f>$B3 * IFERROR(VLOOKUP("industry|NOx|Infant mortality", US_national_yearly!$D:$AM, 35, FALSE) / VLOOKUP("industry|NOx|Infant mortality", US_national_yearly!$D:$AM, 10, FALSE), 1)</f>
        <v>5.6944858962995574E-7</v>
      </c>
      <c r="AB3" s="7">
        <f>$B3 * IFERROR(VLOOKUP("industry|NOx|Infant mortality", US_national_yearly!$D:$AM, 36, FALSE) / VLOOKUP("industry|NOx|Infant mortality", US_national_yearly!$D:$AM, 10, FALSE), 1)</f>
        <v>5.6555811483550571E-7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2.6061258444251985E-3</v>
      </c>
      <c r="C6" s="7">
        <f>$B6 * IFERROR(VLOOKUP("industry|NOx|Asthma symptoms cough", US_national_yearly!$D:$AM, 11, FALSE) / VLOOKUP("industry|NOx|Asthma symptoms cough", US_national_yearly!$D:$AM, 10, FALSE), 1)</f>
        <v>2.6417785302824356E-3</v>
      </c>
      <c r="D6" s="7">
        <f>$B6 * IFERROR(VLOOKUP("industry|NOx|Asthma symptoms cough", US_national_yearly!$D:$AM, 12, FALSE) / VLOOKUP("industry|NOx|Asthma symptoms cough", US_national_yearly!$D:$AM, 10, FALSE), 1)</f>
        <v>2.6774312161396726E-3</v>
      </c>
      <c r="E6" s="7">
        <f>$B6 * IFERROR(VLOOKUP("industry|NOx|Asthma symptoms cough", US_national_yearly!$D:$AM, 13, FALSE) / VLOOKUP("industry|NOx|Asthma symptoms cough", US_national_yearly!$D:$AM, 10, FALSE), 1)</f>
        <v>2.7130839019969097E-3</v>
      </c>
      <c r="F6" s="7">
        <f>$B6 * IFERROR(VLOOKUP("industry|NOx|Asthma symptoms cough", US_national_yearly!$D:$AM, 14, FALSE) / VLOOKUP("industry|NOx|Asthma symptoms cough", US_national_yearly!$D:$AM, 10, FALSE), 1)</f>
        <v>2.7487365878541463E-3</v>
      </c>
      <c r="G6" s="7">
        <f>$B6 * IFERROR(VLOOKUP("industry|NOx|Asthma symptoms cough", US_national_yearly!$D:$AM, 15, FALSE) / VLOOKUP("industry|NOx|Asthma symptoms cough", US_national_yearly!$D:$AM, 10, FALSE), 1)</f>
        <v>2.7773245108449309E-3</v>
      </c>
      <c r="H6" s="7">
        <f>$B6 * IFERROR(VLOOKUP("industry|NOx|Asthma symptoms cough", US_national_yearly!$D:$AM, 16, FALSE) / VLOOKUP("industry|NOx|Asthma symptoms cough", US_national_yearly!$D:$AM, 10, FALSE), 1)</f>
        <v>2.8059124338357154E-3</v>
      </c>
      <c r="I6" s="7">
        <f>$B6 * IFERROR(VLOOKUP("industry|NOx|Asthma symptoms cough", US_national_yearly!$D:$AM, 17, FALSE) / VLOOKUP("industry|NOx|Asthma symptoms cough", US_national_yearly!$D:$AM, 10, FALSE), 1)</f>
        <v>2.8158612844703577E-3</v>
      </c>
      <c r="J6" s="7">
        <f>$B6 * IFERROR(VLOOKUP("industry|NOx|Asthma symptoms cough", US_national_yearly!$D:$AM, 18, FALSE) / VLOOKUP("industry|NOx|Asthma symptoms cough", US_national_yearly!$D:$AM, 10, FALSE), 1)</f>
        <v>2.8258101351050008E-3</v>
      </c>
      <c r="K6" s="7">
        <f>$B6 * IFERROR(VLOOKUP("industry|NOx|Asthma symptoms cough", US_national_yearly!$D:$AM, 19, FALSE) / VLOOKUP("industry|NOx|Asthma symptoms cough", US_national_yearly!$D:$AM, 10, FALSE), 1)</f>
        <v>2.8357589857396434E-3</v>
      </c>
      <c r="L6" s="7">
        <f>$B6 * IFERROR(VLOOKUP("industry|NOx|Asthma symptoms cough", US_national_yearly!$D:$AM, 20, FALSE) / VLOOKUP("industry|NOx|Asthma symptoms cough", US_national_yearly!$D:$AM, 10, FALSE), 1)</f>
        <v>2.8457078363742861E-3</v>
      </c>
      <c r="M6" s="7">
        <f>$B6 * IFERROR(VLOOKUP("industry|NOx|Asthma symptoms cough", US_national_yearly!$D:$AM, 21, FALSE) / VLOOKUP("industry|NOx|Asthma symptoms cough", US_national_yearly!$D:$AM, 10, FALSE), 1)</f>
        <v>2.8556566870089292E-3</v>
      </c>
      <c r="N6" s="7">
        <f>$B6 * IFERROR(VLOOKUP("industry|NOx|Asthma symptoms cough", US_national_yearly!$D:$AM, 22, FALSE) / VLOOKUP("industry|NOx|Asthma symptoms cough", US_national_yearly!$D:$AM, 10, FALSE), 1)</f>
        <v>2.867013571598792E-3</v>
      </c>
      <c r="O6" s="7">
        <f>$B6 * IFERROR(VLOOKUP("industry|NOx|Asthma symptoms cough", US_national_yearly!$D:$AM, 23, FALSE) / VLOOKUP("industry|NOx|Asthma symptoms cough", US_national_yearly!$D:$AM, 10, FALSE), 1)</f>
        <v>2.8783704561886544E-3</v>
      </c>
      <c r="P6" s="7">
        <f>$B6 * IFERROR(VLOOKUP("industry|NOx|Asthma symptoms cough", US_national_yearly!$D:$AM, 24, FALSE) / VLOOKUP("industry|NOx|Asthma symptoms cough", US_national_yearly!$D:$AM, 10, FALSE), 1)</f>
        <v>2.8897273407785177E-3</v>
      </c>
      <c r="Q6" s="7">
        <f>$B6 * IFERROR(VLOOKUP("industry|NOx|Asthma symptoms cough", US_national_yearly!$D:$AM, 25, FALSE) / VLOOKUP("industry|NOx|Asthma symptoms cough", US_national_yearly!$D:$AM, 10, FALSE), 1)</f>
        <v>2.9010842253683806E-3</v>
      </c>
      <c r="R6" s="7">
        <f>$B6 * IFERROR(VLOOKUP("industry|NOx|Asthma symptoms cough", US_national_yearly!$D:$AM, 26, FALSE) / VLOOKUP("industry|NOx|Asthma symptoms cough", US_national_yearly!$D:$AM, 10, FALSE), 1)</f>
        <v>2.9124411099582439E-3</v>
      </c>
      <c r="S6" s="7">
        <f>$B6 * IFERROR(VLOOKUP("industry|NOx|Asthma symptoms cough", US_national_yearly!$D:$AM, 27, FALSE) / VLOOKUP("industry|NOx|Asthma symptoms cough", US_national_yearly!$D:$AM, 10, FALSE), 1)</f>
        <v>2.9270909885823434E-3</v>
      </c>
      <c r="T6" s="7">
        <f>$B6 * IFERROR(VLOOKUP("industry|NOx|Asthma symptoms cough", US_national_yearly!$D:$AM, 28, FALSE) / VLOOKUP("industry|NOx|Asthma symptoms cough", US_national_yearly!$D:$AM, 10, FALSE), 1)</f>
        <v>2.9417408672064425E-3</v>
      </c>
      <c r="U6" s="7">
        <f>$B6 * IFERROR(VLOOKUP("industry|NOx|Asthma symptoms cough", US_national_yearly!$D:$AM, 29, FALSE) / VLOOKUP("industry|NOx|Asthma symptoms cough", US_national_yearly!$D:$AM, 10, FALSE), 1)</f>
        <v>2.956390745830542E-3</v>
      </c>
      <c r="V6" s="7">
        <f>$B6 * IFERROR(VLOOKUP("industry|NOx|Asthma symptoms cough", US_national_yearly!$D:$AM, 30, FALSE) / VLOOKUP("industry|NOx|Asthma symptoms cough", US_national_yearly!$D:$AM, 10, FALSE), 1)</f>
        <v>2.9710406244546411E-3</v>
      </c>
      <c r="W6" s="7">
        <f>$B6 * IFERROR(VLOOKUP("industry|NOx|Asthma symptoms cough", US_national_yearly!$D:$AM, 31, FALSE) / VLOOKUP("industry|NOx|Asthma symptoms cough", US_national_yearly!$D:$AM, 10, FALSE), 1)</f>
        <v>2.985690503078741E-3</v>
      </c>
      <c r="X6" s="7">
        <f>$B6 * IFERROR(VLOOKUP("industry|NOx|Asthma symptoms cough", US_national_yearly!$D:$AM, 32, FALSE) / VLOOKUP("industry|NOx|Asthma symptoms cough", US_national_yearly!$D:$AM, 10, FALSE), 1)</f>
        <v>2.9992720671186937E-3</v>
      </c>
      <c r="Y6" s="7">
        <f>$B6 * IFERROR(VLOOKUP("industry|NOx|Asthma symptoms cough", US_national_yearly!$D:$AM, 33, FALSE) / VLOOKUP("industry|NOx|Asthma symptoms cough", US_national_yearly!$D:$AM, 10, FALSE), 1)</f>
        <v>3.012853631158646E-3</v>
      </c>
      <c r="Z6" s="7">
        <f>$B6 * IFERROR(VLOOKUP("industry|NOx|Asthma symptoms cough", US_national_yearly!$D:$AM, 34, FALSE) / VLOOKUP("industry|NOx|Asthma symptoms cough", US_national_yearly!$D:$AM, 10, FALSE), 1)</f>
        <v>3.0264351951985987E-3</v>
      </c>
      <c r="AA6" s="7">
        <f>$B6 * IFERROR(VLOOKUP("industry|NOx|Asthma symptoms cough", US_national_yearly!$D:$AM, 35, FALSE) / VLOOKUP("industry|NOx|Asthma symptoms cough", US_national_yearly!$D:$AM, 10, FALSE), 1)</f>
        <v>3.0400167592385505E-3</v>
      </c>
      <c r="AB6" s="7">
        <f>$B6 * IFERROR(VLOOKUP("industry|NOx|Asthma symptoms cough", US_national_yearly!$D:$AM, 36, FALSE) / VLOOKUP("industry|NOx|Asthma symptoms cough", US_national_yearly!$D:$AM, 10, FALSE), 1)</f>
        <v>3.0535983232785032E-3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3.5095180846579856E-3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3.5575294827971094E-3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3.6055408809362336E-3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3.6535522790753575E-3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3.7015636772144821E-3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3.7400613700954433E-3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3.7785590629764048E-3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3.7919566012566742E-3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3.805354139536944E-3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3.8187516778172134E-3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3.8321492160974841E-3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3.8455467543777539E-3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3.8608404101021683E-3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3.8761340658265832E-3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3.8914277215509985E-3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3.9067213772754142E-3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3.9220150329998286E-3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3.9417431722825391E-3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3.9614713115652496E-3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3.98119945084796E-3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4.0009275901306705E-3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4.0206557294133801E-3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4.0389452315732124E-3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4.0572347337330446E-3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4.0755242358928761E-3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4.0938137380527083E-3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4.1121032402125397E-3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5.3619792634888308E-3</v>
      </c>
      <c r="C8" s="7">
        <f>$B8 * IFERROR(VLOOKUP("industry|NOx|Asthma symptoms wheeze", US_national_yearly!$D:$AM, 11, FALSE) / VLOOKUP("industry|NOx|Asthma symptoms wheeze", US_national_yearly!$D:$AM, 10, FALSE), 1)</f>
        <v>5.4353329592791251E-3</v>
      </c>
      <c r="D8" s="7">
        <f>$B8 * IFERROR(VLOOKUP("industry|NOx|Asthma symptoms wheeze", US_national_yearly!$D:$AM, 12, FALSE) / VLOOKUP("industry|NOx|Asthma symptoms wheeze", US_national_yearly!$D:$AM, 10, FALSE), 1)</f>
        <v>5.5086866550694202E-3</v>
      </c>
      <c r="E8" s="7">
        <f>$B8 * IFERROR(VLOOKUP("industry|NOx|Asthma symptoms wheeze", US_national_yearly!$D:$AM, 13, FALSE) / VLOOKUP("industry|NOx|Asthma symptoms wheeze", US_national_yearly!$D:$AM, 10, FALSE), 1)</f>
        <v>5.5820403508597145E-3</v>
      </c>
      <c r="F8" s="7">
        <f>$B8 * IFERROR(VLOOKUP("industry|NOx|Asthma symptoms wheeze", US_national_yearly!$D:$AM, 14, FALSE) / VLOOKUP("industry|NOx|Asthma symptoms wheeze", US_national_yearly!$D:$AM, 10, FALSE), 1)</f>
        <v>5.6553940466500079E-3</v>
      </c>
      <c r="G8" s="7">
        <f>$B8 * IFERROR(VLOOKUP("industry|NOx|Asthma symptoms wheeze", US_national_yearly!$D:$AM, 15, FALSE) / VLOOKUP("industry|NOx|Asthma symptoms wheeze", US_national_yearly!$D:$AM, 10, FALSE), 1)</f>
        <v>5.714212330783508E-3</v>
      </c>
      <c r="H8" s="7">
        <f>$B8 * IFERROR(VLOOKUP("industry|NOx|Asthma symptoms wheeze", US_national_yearly!$D:$AM, 16, FALSE) / VLOOKUP("industry|NOx|Asthma symptoms wheeze", US_national_yearly!$D:$AM, 10, FALSE), 1)</f>
        <v>5.7730306149170055E-3</v>
      </c>
      <c r="I8" s="7">
        <f>$B8 * IFERROR(VLOOKUP("industry|NOx|Asthma symptoms wheeze", US_national_yearly!$D:$AM, 17, FALSE) / VLOOKUP("industry|NOx|Asthma symptoms wheeze", US_national_yearly!$D:$AM, 10, FALSE), 1)</f>
        <v>5.7934998992406964E-3</v>
      </c>
      <c r="J8" s="7">
        <f>$B8 * IFERROR(VLOOKUP("industry|NOx|Asthma symptoms wheeze", US_national_yearly!$D:$AM, 18, FALSE) / VLOOKUP("industry|NOx|Asthma symptoms wheeze", US_national_yearly!$D:$AM, 10, FALSE), 1)</f>
        <v>5.8139691835643863E-3</v>
      </c>
      <c r="K8" s="7">
        <f>$B8 * IFERROR(VLOOKUP("industry|NOx|Asthma symptoms wheeze", US_national_yearly!$D:$AM, 19, FALSE) / VLOOKUP("industry|NOx|Asthma symptoms wheeze", US_national_yearly!$D:$AM, 10, FALSE), 1)</f>
        <v>5.8344384678880763E-3</v>
      </c>
      <c r="L8" s="7">
        <f>$B8 * IFERROR(VLOOKUP("industry|NOx|Asthma symptoms wheeze", US_national_yearly!$D:$AM, 20, FALSE) / VLOOKUP("industry|NOx|Asthma symptoms wheeze", US_national_yearly!$D:$AM, 10, FALSE), 1)</f>
        <v>5.8549077522117654E-3</v>
      </c>
      <c r="M8" s="7">
        <f>$B8 * IFERROR(VLOOKUP("industry|NOx|Asthma symptoms wheeze", US_national_yearly!$D:$AM, 21, FALSE) / VLOOKUP("industry|NOx|Asthma symptoms wheeze", US_national_yearly!$D:$AM, 10, FALSE), 1)</f>
        <v>5.8753770365354554E-3</v>
      </c>
      <c r="N8" s="7">
        <f>$B8 * IFERROR(VLOOKUP("industry|NOx|Asthma symptoms wheeze", US_national_yearly!$D:$AM, 22, FALSE) / VLOOKUP("industry|NOx|Asthma symptoms wheeze", US_national_yearly!$D:$AM, 10, FALSE), 1)</f>
        <v>5.8987432833703651E-3</v>
      </c>
      <c r="O8" s="7">
        <f>$B8 * IFERROR(VLOOKUP("industry|NOx|Asthma symptoms wheeze", US_national_yearly!$D:$AM, 23, FALSE) / VLOOKUP("industry|NOx|Asthma symptoms wheeze", US_national_yearly!$D:$AM, 10, FALSE), 1)</f>
        <v>5.9221095302052738E-3</v>
      </c>
      <c r="P8" s="7">
        <f>$B8 * IFERROR(VLOOKUP("industry|NOx|Asthma symptoms wheeze", US_national_yearly!$D:$AM, 24, FALSE) / VLOOKUP("industry|NOx|Asthma symptoms wheeze", US_national_yearly!$D:$AM, 10, FALSE), 1)</f>
        <v>5.9454757770401817E-3</v>
      </c>
      <c r="Q8" s="7">
        <f>$B8 * IFERROR(VLOOKUP("industry|NOx|Asthma symptoms wheeze", US_national_yearly!$D:$AM, 25, FALSE) / VLOOKUP("industry|NOx|Asthma symptoms wheeze", US_national_yearly!$D:$AM, 10, FALSE), 1)</f>
        <v>5.9688420238750914E-3</v>
      </c>
      <c r="R8" s="7">
        <f>$B8 * IFERROR(VLOOKUP("industry|NOx|Asthma symptoms wheeze", US_national_yearly!$D:$AM, 26, FALSE) / VLOOKUP("industry|NOx|Asthma symptoms wheeze", US_national_yearly!$D:$AM, 10, FALSE), 1)</f>
        <v>5.9922082707100002E-3</v>
      </c>
      <c r="S8" s="7">
        <f>$B8 * IFERROR(VLOOKUP("industry|NOx|Asthma symptoms wheeze", US_national_yearly!$D:$AM, 27, FALSE) / VLOOKUP("industry|NOx|Asthma symptoms wheeze", US_national_yearly!$D:$AM, 10, FALSE), 1)</f>
        <v>6.0223496952537875E-3</v>
      </c>
      <c r="T8" s="7">
        <f>$B8 * IFERROR(VLOOKUP("industry|NOx|Asthma symptoms wheeze", US_national_yearly!$D:$AM, 28, FALSE) / VLOOKUP("industry|NOx|Asthma symptoms wheeze", US_national_yearly!$D:$AM, 10, FALSE), 1)</f>
        <v>6.052491119797573E-3</v>
      </c>
      <c r="U8" s="7">
        <f>$B8 * IFERROR(VLOOKUP("industry|NOx|Asthma symptoms wheeze", US_national_yearly!$D:$AM, 29, FALSE) / VLOOKUP("industry|NOx|Asthma symptoms wheeze", US_national_yearly!$D:$AM, 10, FALSE), 1)</f>
        <v>6.0826325443413595E-3</v>
      </c>
      <c r="V8" s="7">
        <f>$B8 * IFERROR(VLOOKUP("industry|NOx|Asthma symptoms wheeze", US_national_yearly!$D:$AM, 30, FALSE) / VLOOKUP("industry|NOx|Asthma symptoms wheeze", US_national_yearly!$D:$AM, 10, FALSE), 1)</f>
        <v>6.1127739688851459E-3</v>
      </c>
      <c r="W8" s="7">
        <f>$B8 * IFERROR(VLOOKUP("industry|NOx|Asthma symptoms wheeze", US_national_yearly!$D:$AM, 31, FALSE) / VLOOKUP("industry|NOx|Asthma symptoms wheeze", US_national_yearly!$D:$AM, 10, FALSE), 1)</f>
        <v>6.1429153934289315E-3</v>
      </c>
      <c r="X8" s="7">
        <f>$B8 * IFERROR(VLOOKUP("industry|NOx|Asthma symptoms wheeze", US_national_yearly!$D:$AM, 32, FALSE) / VLOOKUP("industry|NOx|Asthma symptoms wheeze", US_national_yearly!$D:$AM, 10, FALSE), 1)</f>
        <v>6.1708588118144685E-3</v>
      </c>
      <c r="Y8" s="7">
        <f>$B8 * IFERROR(VLOOKUP("industry|NOx|Asthma symptoms wheeze", US_national_yearly!$D:$AM, 33, FALSE) / VLOOKUP("industry|NOx|Asthma symptoms wheeze", US_national_yearly!$D:$AM, 10, FALSE), 1)</f>
        <v>6.1988022302000038E-3</v>
      </c>
      <c r="Z8" s="7">
        <f>$B8 * IFERROR(VLOOKUP("industry|NOx|Asthma symptoms wheeze", US_national_yearly!$D:$AM, 34, FALSE) / VLOOKUP("industry|NOx|Asthma symptoms wheeze", US_national_yearly!$D:$AM, 10, FALSE), 1)</f>
        <v>6.2267456485855391E-3</v>
      </c>
      <c r="AA8" s="7">
        <f>$B8 * IFERROR(VLOOKUP("industry|NOx|Asthma symptoms wheeze", US_national_yearly!$D:$AM, 35, FALSE) / VLOOKUP("industry|NOx|Asthma symptoms wheeze", US_national_yearly!$D:$AM, 10, FALSE), 1)</f>
        <v>6.2546890669710727E-3</v>
      </c>
      <c r="AB8" s="7">
        <f>$B8 * IFERROR(VLOOKUP("industry|NOx|Asthma symptoms wheeze", US_national_yearly!$D:$AM, 36, FALSE) / VLOOKUP("industry|NOx|Asthma symptoms wheeze", US_national_yearly!$D:$AM, 10, FALSE), 1)</f>
        <v>6.2826324853566132E-3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7.539202782387615E-5</v>
      </c>
      <c r="C12" s="7">
        <f>$B12 * IFERROR(VLOOKUP("industry|NOx|Respiratory hospital admissions", US_national_yearly!$D:$AM, 11, FALSE) / VLOOKUP("industry|NOx|Respiratory hospital admissions", US_national_yearly!$D:$AM, 10, FALSE), 1)</f>
        <v>7.7286125337644226E-5</v>
      </c>
      <c r="D12" s="7">
        <f>$B12 * IFERROR(VLOOKUP("industry|NOx|Respiratory hospital admissions", US_national_yearly!$D:$AM, 12, FALSE) / VLOOKUP("industry|NOx|Respiratory hospital admissions", US_national_yearly!$D:$AM, 10, FALSE), 1)</f>
        <v>7.9180222851412302E-5</v>
      </c>
      <c r="E12" s="7">
        <f>$B12 * IFERROR(VLOOKUP("industry|NOx|Respiratory hospital admissions", US_national_yearly!$D:$AM, 13, FALSE) / VLOOKUP("industry|NOx|Respiratory hospital admissions", US_national_yearly!$D:$AM, 10, FALSE), 1)</f>
        <v>8.1074320365180392E-5</v>
      </c>
      <c r="F12" s="7">
        <f>$B12 * IFERROR(VLOOKUP("industry|NOx|Respiratory hospital admissions", US_national_yearly!$D:$AM, 14, FALSE) / VLOOKUP("industry|NOx|Respiratory hospital admissions", US_national_yearly!$D:$AM, 10, FALSE), 1)</f>
        <v>8.2968417878948454E-5</v>
      </c>
      <c r="G12" s="7">
        <f>$B12 * IFERROR(VLOOKUP("industry|NOx|Respiratory hospital admissions", US_national_yearly!$D:$AM, 15, FALSE) / VLOOKUP("industry|NOx|Respiratory hospital admissions", US_national_yearly!$D:$AM, 10, FALSE), 1)</f>
        <v>8.4780206376167659E-5</v>
      </c>
      <c r="H12" s="7">
        <f>$B12 * IFERROR(VLOOKUP("industry|NOx|Respiratory hospital admissions", US_national_yearly!$D:$AM, 16, FALSE) / VLOOKUP("industry|NOx|Respiratory hospital admissions", US_national_yearly!$D:$AM, 10, FALSE), 1)</f>
        <v>8.6591994873386864E-5</v>
      </c>
      <c r="I12" s="7">
        <f>$B12 * IFERROR(VLOOKUP("industry|NOx|Respiratory hospital admissions", US_national_yearly!$D:$AM, 17, FALSE) / VLOOKUP("industry|NOx|Respiratory hospital admissions", US_national_yearly!$D:$AM, 10, FALSE), 1)</f>
        <v>8.8134978805368971E-5</v>
      </c>
      <c r="J12" s="7">
        <f>$B12 * IFERROR(VLOOKUP("industry|NOx|Respiratory hospital admissions", US_national_yearly!$D:$AM, 18, FALSE) / VLOOKUP("industry|NOx|Respiratory hospital admissions", US_national_yearly!$D:$AM, 10, FALSE), 1)</f>
        <v>8.9677962737351078E-5</v>
      </c>
      <c r="K12" s="7">
        <f>$B12 * IFERROR(VLOOKUP("industry|NOx|Respiratory hospital admissions", US_national_yearly!$D:$AM, 19, FALSE) / VLOOKUP("industry|NOx|Respiratory hospital admissions", US_national_yearly!$D:$AM, 10, FALSE), 1)</f>
        <v>9.1220946669333213E-5</v>
      </c>
      <c r="L12" s="7">
        <f>$B12 * IFERROR(VLOOKUP("industry|NOx|Respiratory hospital admissions", US_national_yearly!$D:$AM, 20, FALSE) / VLOOKUP("industry|NOx|Respiratory hospital admissions", US_national_yearly!$D:$AM, 10, FALSE), 1)</f>
        <v>9.2763930601315333E-5</v>
      </c>
      <c r="M12" s="7">
        <f>$B12 * IFERROR(VLOOKUP("industry|NOx|Respiratory hospital admissions", US_national_yearly!$D:$AM, 21, FALSE) / VLOOKUP("industry|NOx|Respiratory hospital admissions", US_national_yearly!$D:$AM, 10, FALSE), 1)</f>
        <v>9.4306914533297441E-5</v>
      </c>
      <c r="N12" s="7">
        <f>$B12 * IFERROR(VLOOKUP("industry|NOx|Respiratory hospital admissions", US_national_yearly!$D:$AM, 22, FALSE) / VLOOKUP("industry|NOx|Respiratory hospital admissions", US_national_yearly!$D:$AM, 10, FALSE), 1)</f>
        <v>9.5341048577987086E-5</v>
      </c>
      <c r="O12" s="7">
        <f>$B12 * IFERROR(VLOOKUP("industry|NOx|Respiratory hospital admissions", US_national_yearly!$D:$AM, 23, FALSE) / VLOOKUP("industry|NOx|Respiratory hospital admissions", US_national_yearly!$D:$AM, 10, FALSE), 1)</f>
        <v>9.6375182622676704E-5</v>
      </c>
      <c r="P12" s="7">
        <f>$B12 * IFERROR(VLOOKUP("industry|NOx|Respiratory hospital admissions", US_national_yearly!$D:$AM, 24, FALSE) / VLOOKUP("industry|NOx|Respiratory hospital admissions", US_national_yearly!$D:$AM, 10, FALSE), 1)</f>
        <v>9.7409316667366349E-5</v>
      </c>
      <c r="Q12" s="7">
        <f>$B12 * IFERROR(VLOOKUP("industry|NOx|Respiratory hospital admissions", US_national_yearly!$D:$AM, 25, FALSE) / VLOOKUP("industry|NOx|Respiratory hospital admissions", US_national_yearly!$D:$AM, 10, FALSE), 1)</f>
        <v>9.8443450712055981E-5</v>
      </c>
      <c r="R12" s="7">
        <f>$B12 * IFERROR(VLOOKUP("industry|NOx|Respiratory hospital admissions", US_national_yearly!$D:$AM, 26, FALSE) / VLOOKUP("industry|NOx|Respiratory hospital admissions", US_national_yearly!$D:$AM, 10, FALSE), 1)</f>
        <v>9.9477584756745612E-5</v>
      </c>
      <c r="S12" s="7">
        <f>$B12 * IFERROR(VLOOKUP("industry|NOx|Respiratory hospital admissions", US_national_yearly!$D:$AM, 27, FALSE) / VLOOKUP("industry|NOx|Respiratory hospital admissions", US_national_yearly!$D:$AM, 10, FALSE), 1)</f>
        <v>1.0003902969008747E-4</v>
      </c>
      <c r="T12" s="7">
        <f>$B12 * IFERROR(VLOOKUP("industry|NOx|Respiratory hospital admissions", US_national_yearly!$D:$AM, 28, FALSE) / VLOOKUP("industry|NOx|Respiratory hospital admissions", US_national_yearly!$D:$AM, 10, FALSE), 1)</f>
        <v>1.0060047462342934E-4</v>
      </c>
      <c r="U12" s="7">
        <f>$B12 * IFERROR(VLOOKUP("industry|NOx|Respiratory hospital admissions", US_national_yearly!$D:$AM, 29, FALSE) / VLOOKUP("industry|NOx|Respiratory hospital admissions", US_national_yearly!$D:$AM, 10, FALSE), 1)</f>
        <v>1.0116191955677119E-4</v>
      </c>
      <c r="V12" s="7">
        <f>$B12 * IFERROR(VLOOKUP("industry|NOx|Respiratory hospital admissions", US_national_yearly!$D:$AM, 30, FALSE) / VLOOKUP("industry|NOx|Respiratory hospital admissions", US_national_yearly!$D:$AM, 10, FALSE), 1)</f>
        <v>1.0172336449011303E-4</v>
      </c>
      <c r="W12" s="7">
        <f>$B12 * IFERROR(VLOOKUP("industry|NOx|Respiratory hospital admissions", US_national_yearly!$D:$AM, 31, FALSE) / VLOOKUP("industry|NOx|Respiratory hospital admissions", US_national_yearly!$D:$AM, 10, FALSE), 1)</f>
        <v>1.0228480942345491E-4</v>
      </c>
      <c r="X12" s="7">
        <f>$B12 * IFERROR(VLOOKUP("industry|NOx|Respiratory hospital admissions", US_national_yearly!$D:$AM, 32, FALSE) / VLOOKUP("industry|NOx|Respiratory hospital admissions", US_national_yearly!$D:$AM, 10, FALSE), 1)</f>
        <v>1.0267628341665092E-4</v>
      </c>
      <c r="Y12" s="7">
        <f>$B12 * IFERROR(VLOOKUP("industry|NOx|Respiratory hospital admissions", US_national_yearly!$D:$AM, 33, FALSE) / VLOOKUP("industry|NOx|Respiratory hospital admissions", US_national_yearly!$D:$AM, 10, FALSE), 1)</f>
        <v>1.0306775740984695E-4</v>
      </c>
      <c r="Z12" s="7">
        <f>$B12 * IFERROR(VLOOKUP("industry|NOx|Respiratory hospital admissions", US_national_yearly!$D:$AM, 34, FALSE) / VLOOKUP("industry|NOx|Respiratory hospital admissions", US_national_yearly!$D:$AM, 10, FALSE), 1)</f>
        <v>1.0345923140304298E-4</v>
      </c>
      <c r="AA12" s="7">
        <f>$B12 * IFERROR(VLOOKUP("industry|NOx|Respiratory hospital admissions", US_national_yearly!$D:$AM, 35, FALSE) / VLOOKUP("industry|NOx|Respiratory hospital admissions", US_national_yearly!$D:$AM, 10, FALSE), 1)</f>
        <v>1.03850705396239E-4</v>
      </c>
      <c r="AB12" s="7">
        <f>$B12 * IFERROR(VLOOKUP("industry|NOx|Respiratory hospital admissions", US_national_yearly!$D:$AM, 36, FALSE) / VLOOKUP("industry|NOx|Respiratory hospital admissions", US_national_yearly!$D:$AM, 10, FALSE), 1)</f>
        <v>1.0424217938943502E-4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4.4562839632597182E-4</v>
      </c>
      <c r="C13" s="7">
        <f>$B13 * IFERROR(VLOOKUP("industry|NOx|Non-fatal heart attacks", US_national_yearly!$D:$AM, 11, FALSE) / VLOOKUP("industry|NOx|Non-fatal heart attacks", US_national_yearly!$D:$AM, 10, FALSE), 1)</f>
        <v>4.5836042664580744E-4</v>
      </c>
      <c r="D13" s="7">
        <f>$B13 * IFERROR(VLOOKUP("industry|NOx|Non-fatal heart attacks", US_national_yearly!$D:$AM, 12, FALSE) / VLOOKUP("industry|NOx|Non-fatal heart attacks", US_national_yearly!$D:$AM, 10, FALSE), 1)</f>
        <v>4.71092456965643E-4</v>
      </c>
      <c r="E13" s="7">
        <f>$B13 * IFERROR(VLOOKUP("industry|NOx|Non-fatal heart attacks", US_national_yearly!$D:$AM, 13, FALSE) / VLOOKUP("industry|NOx|Non-fatal heart attacks", US_national_yearly!$D:$AM, 10, FALSE), 1)</f>
        <v>4.8382448728547862E-4</v>
      </c>
      <c r="F13" s="7">
        <f>$B13 * IFERROR(VLOOKUP("industry|NOx|Non-fatal heart attacks", US_national_yearly!$D:$AM, 14, FALSE) / VLOOKUP("industry|NOx|Non-fatal heart attacks", US_national_yearly!$D:$AM, 10, FALSE), 1)</f>
        <v>4.9655651760531418E-4</v>
      </c>
      <c r="G13" s="7">
        <f>$B13 * IFERROR(VLOOKUP("industry|NOx|Non-fatal heart attacks", US_national_yearly!$D:$AM, 15, FALSE) / VLOOKUP("industry|NOx|Non-fatal heart attacks", US_national_yearly!$D:$AM, 10, FALSE), 1)</f>
        <v>5.0846467486131671E-4</v>
      </c>
      <c r="H13" s="7">
        <f>$B13 * IFERROR(VLOOKUP("industry|NOx|Non-fatal heart attacks", US_national_yearly!$D:$AM, 16, FALSE) / VLOOKUP("industry|NOx|Non-fatal heart attacks", US_national_yearly!$D:$AM, 10, FALSE), 1)</f>
        <v>5.2037283211731902E-4</v>
      </c>
      <c r="I13" s="7">
        <f>$B13 * IFERROR(VLOOKUP("industry|NOx|Non-fatal heart attacks", US_national_yearly!$D:$AM, 17, FALSE) / VLOOKUP("industry|NOx|Non-fatal heart attacks", US_national_yearly!$D:$AM, 10, FALSE), 1)</f>
        <v>5.2979093273125674E-4</v>
      </c>
      <c r="J13" s="7">
        <f>$B13 * IFERROR(VLOOKUP("industry|NOx|Non-fatal heart attacks", US_national_yearly!$D:$AM, 18, FALSE) / VLOOKUP("industry|NOx|Non-fatal heart attacks", US_national_yearly!$D:$AM, 10, FALSE), 1)</f>
        <v>5.3920903334519446E-4</v>
      </c>
      <c r="K13" s="7">
        <f>$B13 * IFERROR(VLOOKUP("industry|NOx|Non-fatal heart attacks", US_national_yearly!$D:$AM, 19, FALSE) / VLOOKUP("industry|NOx|Non-fatal heart attacks", US_national_yearly!$D:$AM, 10, FALSE), 1)</f>
        <v>5.4862713395913197E-4</v>
      </c>
      <c r="L13" s="7">
        <f>$B13 * IFERROR(VLOOKUP("industry|NOx|Non-fatal heart attacks", US_national_yearly!$D:$AM, 20, FALSE) / VLOOKUP("industry|NOx|Non-fatal heart attacks", US_national_yearly!$D:$AM, 10, FALSE), 1)</f>
        <v>5.5804523457306991E-4</v>
      </c>
      <c r="M13" s="7">
        <f>$B13 * IFERROR(VLOOKUP("industry|NOx|Non-fatal heart attacks", US_national_yearly!$D:$AM, 21, FALSE) / VLOOKUP("industry|NOx|Non-fatal heart attacks", US_national_yearly!$D:$AM, 10, FALSE), 1)</f>
        <v>5.6746333518700775E-4</v>
      </c>
      <c r="N13" s="7">
        <f>$B13 * IFERROR(VLOOKUP("industry|NOx|Non-fatal heart attacks", US_national_yearly!$D:$AM, 22, FALSE) / VLOOKUP("industry|NOx|Non-fatal heart attacks", US_national_yearly!$D:$AM, 10, FALSE), 1)</f>
        <v>5.7313728878123301E-4</v>
      </c>
      <c r="O13" s="7">
        <f>$B13 * IFERROR(VLOOKUP("industry|NOx|Non-fatal heart attacks", US_national_yearly!$D:$AM, 23, FALSE) / VLOOKUP("industry|NOx|Non-fatal heart attacks", US_national_yearly!$D:$AM, 10, FALSE), 1)</f>
        <v>5.7881124237545818E-4</v>
      </c>
      <c r="P13" s="7">
        <f>$B13 * IFERROR(VLOOKUP("industry|NOx|Non-fatal heart attacks", US_national_yearly!$D:$AM, 24, FALSE) / VLOOKUP("industry|NOx|Non-fatal heart attacks", US_national_yearly!$D:$AM, 10, FALSE), 1)</f>
        <v>5.8448519596968323E-4</v>
      </c>
      <c r="Q13" s="7">
        <f>$B13 * IFERROR(VLOOKUP("industry|NOx|Non-fatal heart attacks", US_national_yearly!$D:$AM, 25, FALSE) / VLOOKUP("industry|NOx|Non-fatal heart attacks", US_national_yearly!$D:$AM, 10, FALSE), 1)</f>
        <v>5.9015914956390839E-4</v>
      </c>
      <c r="R13" s="7">
        <f>$B13 * IFERROR(VLOOKUP("industry|NOx|Non-fatal heart attacks", US_national_yearly!$D:$AM, 26, FALSE) / VLOOKUP("industry|NOx|Non-fatal heart attacks", US_national_yearly!$D:$AM, 10, FALSE), 1)</f>
        <v>5.9583310315813355E-4</v>
      </c>
      <c r="S13" s="7">
        <f>$B13 * IFERROR(VLOOKUP("industry|NOx|Non-fatal heart attacks", US_national_yearly!$D:$AM, 27, FALSE) / VLOOKUP("industry|NOx|Non-fatal heart attacks", US_national_yearly!$D:$AM, 10, FALSE), 1)</f>
        <v>5.9843642624220802E-4</v>
      </c>
      <c r="T13" s="7">
        <f>$B13 * IFERROR(VLOOKUP("industry|NOx|Non-fatal heart attacks", US_national_yearly!$D:$AM, 28, FALSE) / VLOOKUP("industry|NOx|Non-fatal heart attacks", US_national_yearly!$D:$AM, 10, FALSE), 1)</f>
        <v>6.0103974932628238E-4</v>
      </c>
      <c r="U13" s="7">
        <f>$B13 * IFERROR(VLOOKUP("industry|NOx|Non-fatal heart attacks", US_national_yearly!$D:$AM, 29, FALSE) / VLOOKUP("industry|NOx|Non-fatal heart attacks", US_national_yearly!$D:$AM, 10, FALSE), 1)</f>
        <v>6.0364307241035685E-4</v>
      </c>
      <c r="V13" s="7">
        <f>$B13 * IFERROR(VLOOKUP("industry|NOx|Non-fatal heart attacks", US_national_yearly!$D:$AM, 30, FALSE) / VLOOKUP("industry|NOx|Non-fatal heart attacks", US_national_yearly!$D:$AM, 10, FALSE), 1)</f>
        <v>6.0624639549443132E-4</v>
      </c>
      <c r="W13" s="7">
        <f>$B13 * IFERROR(VLOOKUP("industry|NOx|Non-fatal heart attacks", US_national_yearly!$D:$AM, 31, FALSE) / VLOOKUP("industry|NOx|Non-fatal heart attacks", US_national_yearly!$D:$AM, 10, FALSE), 1)</f>
        <v>6.0884971857850579E-4</v>
      </c>
      <c r="X13" s="7">
        <f>$B13 * IFERROR(VLOOKUP("industry|NOx|Non-fatal heart attacks", US_national_yearly!$D:$AM, 32, FALSE) / VLOOKUP("industry|NOx|Non-fatal heart attacks", US_national_yearly!$D:$AM, 10, FALSE), 1)</f>
        <v>6.1060667645421152E-4</v>
      </c>
      <c r="Y13" s="7">
        <f>$B13 * IFERROR(VLOOKUP("industry|NOx|Non-fatal heart attacks", US_national_yearly!$D:$AM, 33, FALSE) / VLOOKUP("industry|NOx|Non-fatal heart attacks", US_national_yearly!$D:$AM, 10, FALSE), 1)</f>
        <v>6.1236363432991725E-4</v>
      </c>
      <c r="Z13" s="7">
        <f>$B13 * IFERROR(VLOOKUP("industry|NOx|Non-fatal heart attacks", US_national_yearly!$D:$AM, 34, FALSE) / VLOOKUP("industry|NOx|Non-fatal heart attacks", US_national_yearly!$D:$AM, 10, FALSE), 1)</f>
        <v>6.1412059220562298E-4</v>
      </c>
      <c r="AA13" s="7">
        <f>$B13 * IFERROR(VLOOKUP("industry|NOx|Non-fatal heart attacks", US_national_yearly!$D:$AM, 35, FALSE) / VLOOKUP("industry|NOx|Non-fatal heart attacks", US_national_yearly!$D:$AM, 10, FALSE), 1)</f>
        <v>6.1587755008132871E-4</v>
      </c>
      <c r="AB13" s="7">
        <f>$B13 * IFERROR(VLOOKUP("industry|NOx|Non-fatal heart attacks", US_national_yearly!$D:$AM, 36, FALSE) / VLOOKUP("industry|NOx|Non-fatal heart attacks", US_national_yearly!$D:$AM, 10, FALSE), 1)</f>
        <v>6.1763450795703455E-4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0.3591740696998979</v>
      </c>
      <c r="C14" s="7">
        <f>$B14 * IFERROR(VLOOKUP("industry|NOx|Minor restricted activity days", US_national_yearly!$D:$AM, 11, FALSE) / VLOOKUP("industry|NOx|Minor restricted activity days", US_national_yearly!$D:$AM, 10, FALSE), 1)</f>
        <v>0.35970621379965162</v>
      </c>
      <c r="D14" s="7">
        <f>$B14 * IFERROR(VLOOKUP("industry|NOx|Minor restricted activity days", US_national_yearly!$D:$AM, 12, FALSE) / VLOOKUP("industry|NOx|Minor restricted activity days", US_national_yearly!$D:$AM, 10, FALSE), 1)</f>
        <v>0.36023835789940528</v>
      </c>
      <c r="E14" s="7">
        <f>$B14 * IFERROR(VLOOKUP("industry|NOx|Minor restricted activity days", US_national_yearly!$D:$AM, 13, FALSE) / VLOOKUP("industry|NOx|Minor restricted activity days", US_national_yearly!$D:$AM, 10, FALSE), 1)</f>
        <v>0.36077050199915905</v>
      </c>
      <c r="F14" s="7">
        <f>$B14 * IFERROR(VLOOKUP("industry|NOx|Minor restricted activity days", US_national_yearly!$D:$AM, 14, FALSE) / VLOOKUP("industry|NOx|Minor restricted activity days", US_national_yearly!$D:$AM, 10, FALSE), 1)</f>
        <v>0.36130264609891266</v>
      </c>
      <c r="G14" s="7">
        <f>$B14 * IFERROR(VLOOKUP("industry|NOx|Minor restricted activity days", US_national_yearly!$D:$AM, 15, FALSE) / VLOOKUP("industry|NOx|Minor restricted activity days", US_national_yearly!$D:$AM, 10, FALSE), 1)</f>
        <v>0.36227136466732912</v>
      </c>
      <c r="H14" s="7">
        <f>$B14 * IFERROR(VLOOKUP("industry|NOx|Minor restricted activity days", US_national_yearly!$D:$AM, 16, FALSE) / VLOOKUP("industry|NOx|Minor restricted activity days", US_national_yearly!$D:$AM, 10, FALSE), 1)</f>
        <v>0.36324008323574558</v>
      </c>
      <c r="I14" s="7">
        <f>$B14 * IFERROR(VLOOKUP("industry|NOx|Minor restricted activity days", US_national_yearly!$D:$AM, 17, FALSE) / VLOOKUP("industry|NOx|Minor restricted activity days", US_national_yearly!$D:$AM, 10, FALSE), 1)</f>
        <v>0.36514714363237705</v>
      </c>
      <c r="J14" s="7">
        <f>$B14 * IFERROR(VLOOKUP("industry|NOx|Minor restricted activity days", US_national_yearly!$D:$AM, 18, FALSE) / VLOOKUP("industry|NOx|Minor restricted activity days", US_national_yearly!$D:$AM, 10, FALSE), 1)</f>
        <v>0.3670542040290084</v>
      </c>
      <c r="K14" s="7">
        <f>$B14 * IFERROR(VLOOKUP("industry|NOx|Minor restricted activity days", US_national_yearly!$D:$AM, 19, FALSE) / VLOOKUP("industry|NOx|Minor restricted activity days", US_national_yearly!$D:$AM, 10, FALSE), 1)</f>
        <v>0.3689612644256397</v>
      </c>
      <c r="L14" s="7">
        <f>$B14 * IFERROR(VLOOKUP("industry|NOx|Minor restricted activity days", US_national_yearly!$D:$AM, 20, FALSE) / VLOOKUP("industry|NOx|Minor restricted activity days", US_national_yearly!$D:$AM, 10, FALSE), 1)</f>
        <v>0.37086832482227117</v>
      </c>
      <c r="M14" s="7">
        <f>$B14 * IFERROR(VLOOKUP("industry|NOx|Minor restricted activity days", US_national_yearly!$D:$AM, 21, FALSE) / VLOOKUP("industry|NOx|Minor restricted activity days", US_national_yearly!$D:$AM, 10, FALSE), 1)</f>
        <v>0.37277538521890252</v>
      </c>
      <c r="N14" s="7">
        <f>$B14 * IFERROR(VLOOKUP("industry|NOx|Minor restricted activity days", US_national_yearly!$D:$AM, 22, FALSE) / VLOOKUP("industry|NOx|Minor restricted activity days", US_national_yearly!$D:$AM, 10, FALSE), 1)</f>
        <v>0.37552167968097899</v>
      </c>
      <c r="O14" s="7">
        <f>$B14 * IFERROR(VLOOKUP("industry|NOx|Minor restricted activity days", US_national_yearly!$D:$AM, 23, FALSE) / VLOOKUP("industry|NOx|Minor restricted activity days", US_national_yearly!$D:$AM, 10, FALSE), 1)</f>
        <v>0.37826797414305557</v>
      </c>
      <c r="P14" s="7">
        <f>$B14 * IFERROR(VLOOKUP("industry|NOx|Minor restricted activity days", US_national_yearly!$D:$AM, 24, FALSE) / VLOOKUP("industry|NOx|Minor restricted activity days", US_national_yearly!$D:$AM, 10, FALSE), 1)</f>
        <v>0.38101426860513216</v>
      </c>
      <c r="Q14" s="7">
        <f>$B14 * IFERROR(VLOOKUP("industry|NOx|Minor restricted activity days", US_national_yearly!$D:$AM, 25, FALSE) / VLOOKUP("industry|NOx|Minor restricted activity days", US_national_yearly!$D:$AM, 10, FALSE), 1)</f>
        <v>0.38376056306720863</v>
      </c>
      <c r="R14" s="7">
        <f>$B14 * IFERROR(VLOOKUP("industry|NOx|Minor restricted activity days", US_national_yearly!$D:$AM, 26, FALSE) / VLOOKUP("industry|NOx|Minor restricted activity days", US_national_yearly!$D:$AM, 10, FALSE), 1)</f>
        <v>0.38650685752928515</v>
      </c>
      <c r="S14" s="7">
        <f>$B14 * IFERROR(VLOOKUP("industry|NOx|Minor restricted activity days", US_national_yearly!$D:$AM, 27, FALSE) / VLOOKUP("industry|NOx|Minor restricted activity days", US_national_yearly!$D:$AM, 10, FALSE), 1)</f>
        <v>0.38925609226710461</v>
      </c>
      <c r="T14" s="7">
        <f>$B14 * IFERROR(VLOOKUP("industry|NOx|Minor restricted activity days", US_national_yearly!$D:$AM, 28, FALSE) / VLOOKUP("industry|NOx|Minor restricted activity days", US_national_yearly!$D:$AM, 10, FALSE), 1)</f>
        <v>0.39200532700492408</v>
      </c>
      <c r="U14" s="7">
        <f>$B14 * IFERROR(VLOOKUP("industry|NOx|Minor restricted activity days", US_national_yearly!$D:$AM, 29, FALSE) / VLOOKUP("industry|NOx|Minor restricted activity days", US_national_yearly!$D:$AM, 10, FALSE), 1)</f>
        <v>0.39475456174274359</v>
      </c>
      <c r="V14" s="7">
        <f>$B14 * IFERROR(VLOOKUP("industry|NOx|Minor restricted activity days", US_national_yearly!$D:$AM, 30, FALSE) / VLOOKUP("industry|NOx|Minor restricted activity days", US_national_yearly!$D:$AM, 10, FALSE), 1)</f>
        <v>0.39750379648056311</v>
      </c>
      <c r="W14" s="7">
        <f>$B14 * IFERROR(VLOOKUP("industry|NOx|Minor restricted activity days", US_national_yearly!$D:$AM, 31, FALSE) / VLOOKUP("industry|NOx|Minor restricted activity days", US_national_yearly!$D:$AM, 10, FALSE), 1)</f>
        <v>0.40025303121838263</v>
      </c>
      <c r="X14" s="7">
        <f>$B14 * IFERROR(VLOOKUP("industry|NOx|Minor restricted activity days", US_national_yearly!$D:$AM, 32, FALSE) / VLOOKUP("industry|NOx|Minor restricted activity days", US_national_yearly!$D:$AM, 10, FALSE), 1)</f>
        <v>0.40257416998380668</v>
      </c>
      <c r="Y14" s="7">
        <f>$B14 * IFERROR(VLOOKUP("industry|NOx|Minor restricted activity days", US_national_yearly!$D:$AM, 33, FALSE) / VLOOKUP("industry|NOx|Minor restricted activity days", US_national_yearly!$D:$AM, 10, FALSE), 1)</f>
        <v>0.40489530874923069</v>
      </c>
      <c r="Z14" s="7">
        <f>$B14 * IFERROR(VLOOKUP("industry|NOx|Minor restricted activity days", US_national_yearly!$D:$AM, 34, FALSE) / VLOOKUP("industry|NOx|Minor restricted activity days", US_national_yearly!$D:$AM, 10, FALSE), 1)</f>
        <v>0.40721644751465469</v>
      </c>
      <c r="AA14" s="7">
        <f>$B14 * IFERROR(VLOOKUP("industry|NOx|Minor restricted activity days", US_national_yearly!$D:$AM, 35, FALSE) / VLOOKUP("industry|NOx|Minor restricted activity days", US_national_yearly!$D:$AM, 10, FALSE), 1)</f>
        <v>0.40953758628007875</v>
      </c>
      <c r="AB14" s="7">
        <f>$B14 * IFERROR(VLOOKUP("industry|NOx|Minor restricted activity days", US_national_yearly!$D:$AM, 36, FALSE) / VLOOKUP("industry|NOx|Minor restricted activity days", US_national_yearly!$D:$AM, 10, FALSE), 1)</f>
        <v>0.41185872504550286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6.1044238435047422E-2</v>
      </c>
      <c r="C15" s="7">
        <f>$B15 * IFERROR(VLOOKUP("industry|NOx|Work loss days", US_national_yearly!$D:$AM, 11, FALSE) / VLOOKUP("industry|NOx|Work loss days", US_national_yearly!$D:$AM, 10, FALSE), 1)</f>
        <v>6.117650157514639E-2</v>
      </c>
      <c r="D15" s="7">
        <f>$B15 * IFERROR(VLOOKUP("industry|NOx|Work loss days", US_national_yearly!$D:$AM, 12, FALSE) / VLOOKUP("industry|NOx|Work loss days", US_national_yearly!$D:$AM, 10, FALSE), 1)</f>
        <v>6.130876471524533E-2</v>
      </c>
      <c r="E15" s="7">
        <f>$B15 * IFERROR(VLOOKUP("industry|NOx|Work loss days", US_national_yearly!$D:$AM, 13, FALSE) / VLOOKUP("industry|NOx|Work loss days", US_national_yearly!$D:$AM, 10, FALSE), 1)</f>
        <v>6.1441027855344298E-2</v>
      </c>
      <c r="F15" s="7">
        <f>$B15 * IFERROR(VLOOKUP("industry|NOx|Work loss days", US_national_yearly!$D:$AM, 14, FALSE) / VLOOKUP("industry|NOx|Work loss days", US_national_yearly!$D:$AM, 10, FALSE), 1)</f>
        <v>6.1573290995443251E-2</v>
      </c>
      <c r="G15" s="7">
        <f>$B15 * IFERROR(VLOOKUP("industry|NOx|Work loss days", US_national_yearly!$D:$AM, 15, FALSE) / VLOOKUP("industry|NOx|Work loss days", US_national_yearly!$D:$AM, 10, FALSE), 1)</f>
        <v>6.1766758796847621E-2</v>
      </c>
      <c r="H15" s="7">
        <f>$B15 * IFERROR(VLOOKUP("industry|NOx|Work loss days", US_national_yearly!$D:$AM, 16, FALSE) / VLOOKUP("industry|NOx|Work loss days", US_national_yearly!$D:$AM, 10, FALSE), 1)</f>
        <v>6.1960226598251983E-2</v>
      </c>
      <c r="I15" s="7">
        <f>$B15 * IFERROR(VLOOKUP("industry|NOx|Work loss days", US_national_yearly!$D:$AM, 17, FALSE) / VLOOKUP("industry|NOx|Work loss days", US_national_yearly!$D:$AM, 10, FALSE), 1)</f>
        <v>6.2274562720882408E-2</v>
      </c>
      <c r="J15" s="7">
        <f>$B15 * IFERROR(VLOOKUP("industry|NOx|Work loss days", US_national_yearly!$D:$AM, 18, FALSE) / VLOOKUP("industry|NOx|Work loss days", US_national_yearly!$D:$AM, 10, FALSE), 1)</f>
        <v>6.2588898843512819E-2</v>
      </c>
      <c r="K15" s="7">
        <f>$B15 * IFERROR(VLOOKUP("industry|NOx|Work loss days", US_national_yearly!$D:$AM, 19, FALSE) / VLOOKUP("industry|NOx|Work loss days", US_national_yearly!$D:$AM, 10, FALSE), 1)</f>
        <v>6.2903234966143251E-2</v>
      </c>
      <c r="L15" s="7">
        <f>$B15 * IFERROR(VLOOKUP("industry|NOx|Work loss days", US_national_yearly!$D:$AM, 20, FALSE) / VLOOKUP("industry|NOx|Work loss days", US_national_yearly!$D:$AM, 10, FALSE), 1)</f>
        <v>6.3217571088773669E-2</v>
      </c>
      <c r="M15" s="7">
        <f>$B15 * IFERROR(VLOOKUP("industry|NOx|Work loss days", US_national_yearly!$D:$AM, 21, FALSE) / VLOOKUP("industry|NOx|Work loss days", US_national_yearly!$D:$AM, 10, FALSE), 1)</f>
        <v>6.3531907211404101E-2</v>
      </c>
      <c r="N15" s="7">
        <f>$B15 * IFERROR(VLOOKUP("industry|NOx|Work loss days", US_national_yearly!$D:$AM, 22, FALSE) / VLOOKUP("industry|NOx|Work loss days", US_national_yearly!$D:$AM, 10, FALSE), 1)</f>
        <v>6.3942987575678165E-2</v>
      </c>
      <c r="O15" s="7">
        <f>$B15 * IFERROR(VLOOKUP("industry|NOx|Work loss days", US_national_yearly!$D:$AM, 23, FALSE) / VLOOKUP("industry|NOx|Work loss days", US_national_yearly!$D:$AM, 10, FALSE), 1)</f>
        <v>6.4354067939952256E-2</v>
      </c>
      <c r="P15" s="7">
        <f>$B15 * IFERROR(VLOOKUP("industry|NOx|Work loss days", US_national_yearly!$D:$AM, 24, FALSE) / VLOOKUP("industry|NOx|Work loss days", US_national_yearly!$D:$AM, 10, FALSE), 1)</f>
        <v>6.4765148304226319E-2</v>
      </c>
      <c r="Q15" s="7">
        <f>$B15 * IFERROR(VLOOKUP("industry|NOx|Work loss days", US_national_yearly!$D:$AM, 25, FALSE) / VLOOKUP("industry|NOx|Work loss days", US_national_yearly!$D:$AM, 10, FALSE), 1)</f>
        <v>6.5176228668500397E-2</v>
      </c>
      <c r="R15" s="7">
        <f>$B15 * IFERROR(VLOOKUP("industry|NOx|Work loss days", US_national_yearly!$D:$AM, 26, FALSE) / VLOOKUP("industry|NOx|Work loss days", US_national_yearly!$D:$AM, 10, FALSE), 1)</f>
        <v>6.5587309032774474E-2</v>
      </c>
      <c r="S15" s="7">
        <f>$B15 * IFERROR(VLOOKUP("industry|NOx|Work loss days", US_national_yearly!$D:$AM, 27, FALSE) / VLOOKUP("industry|NOx|Work loss days", US_national_yearly!$D:$AM, 10, FALSE), 1)</f>
        <v>6.6046871980110958E-2</v>
      </c>
      <c r="T15" s="7">
        <f>$B15 * IFERROR(VLOOKUP("industry|NOx|Work loss days", US_national_yearly!$D:$AM, 28, FALSE) / VLOOKUP("industry|NOx|Work loss days", US_national_yearly!$D:$AM, 10, FALSE), 1)</f>
        <v>6.6506434927447441E-2</v>
      </c>
      <c r="U15" s="7">
        <f>$B15 * IFERROR(VLOOKUP("industry|NOx|Work loss days", US_national_yearly!$D:$AM, 29, FALSE) / VLOOKUP("industry|NOx|Work loss days", US_national_yearly!$D:$AM, 10, FALSE), 1)</f>
        <v>6.6965997874783925E-2</v>
      </c>
      <c r="V15" s="7">
        <f>$B15 * IFERROR(VLOOKUP("industry|NOx|Work loss days", US_national_yearly!$D:$AM, 30, FALSE) / VLOOKUP("industry|NOx|Work loss days", US_national_yearly!$D:$AM, 10, FALSE), 1)</f>
        <v>6.7425560822120409E-2</v>
      </c>
      <c r="W15" s="7">
        <f>$B15 * IFERROR(VLOOKUP("industry|NOx|Work loss days", US_national_yearly!$D:$AM, 31, FALSE) / VLOOKUP("industry|NOx|Work loss days", US_national_yearly!$D:$AM, 10, FALSE), 1)</f>
        <v>6.7885123769456893E-2</v>
      </c>
      <c r="X15" s="7">
        <f>$B15 * IFERROR(VLOOKUP("industry|NOx|Work loss days", US_national_yearly!$D:$AM, 32, FALSE) / VLOOKUP("industry|NOx|Work loss days", US_national_yearly!$D:$AM, 10, FALSE), 1)</f>
        <v>6.8283810653527455E-2</v>
      </c>
      <c r="Y15" s="7">
        <f>$B15 * IFERROR(VLOOKUP("industry|NOx|Work loss days", US_national_yearly!$D:$AM, 33, FALSE) / VLOOKUP("industry|NOx|Work loss days", US_national_yearly!$D:$AM, 10, FALSE), 1)</f>
        <v>6.8682497537598003E-2</v>
      </c>
      <c r="Z15" s="7">
        <f>$B15 * IFERROR(VLOOKUP("industry|NOx|Work loss days", US_national_yearly!$D:$AM, 34, FALSE) / VLOOKUP("industry|NOx|Work loss days", US_national_yearly!$D:$AM, 10, FALSE), 1)</f>
        <v>6.9081184421668565E-2</v>
      </c>
      <c r="AA15" s="7">
        <f>$B15 * IFERROR(VLOOKUP("industry|NOx|Work loss days", US_national_yearly!$D:$AM, 35, FALSE) / VLOOKUP("industry|NOx|Work loss days", US_national_yearly!$D:$AM, 10, FALSE), 1)</f>
        <v>6.9479871305739113E-2</v>
      </c>
      <c r="AB15" s="7">
        <f>$B15 * IFERROR(VLOOKUP("industry|NOx|Work loss days", US_national_yearly!$D:$AM, 36, FALSE) / VLOOKUP("industry|NOx|Work loss days", US_national_yearly!$D:$AM, 10, FALSE), 1)</f>
        <v>6.9878558189809675E-2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1.0765576077655267E-4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1.1081682147802028E-4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1.139778821794879E-4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1.1713894288095551E-4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1.2030000358242315E-4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1.2330435201029043E-4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1.2630870043815775E-4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1.2884158354879328E-4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1.3137446665942878E-4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1.3390734977006429E-4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1.3644023288069979E-4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1.389731159913353E-4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1.4055880504852642E-4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1.4214449410571752E-4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1.4373018316290865E-4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1.4531587222009978E-4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1.4690156127729088E-4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1.4763307082603743E-4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1.4836458037478399E-4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1.4909608992353055E-4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1.498275994722771E-4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1.5055910902102369E-4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1.5097240680373409E-4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1.5138570458644453E-4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1.5179900236915494E-4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1.5221230015186534E-4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1.526255979345758E-4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4.6329822839500899E-3</v>
      </c>
      <c r="C2" s="7">
        <f>$B2 * IFERROR(VLOOKUP("industry|SO2|Premature mortality", US_national_yearly!$D:$AM, 11, FALSE) / VLOOKUP("industry|SO2|Premature mortality", US_national_yearly!$D:$AM, 10, FALSE), 1)</f>
        <v>4.691714149556098E-3</v>
      </c>
      <c r="D2" s="7">
        <f>$B2 * IFERROR(VLOOKUP("industry|SO2|Premature mortality", US_national_yearly!$D:$AM, 12, FALSE) / VLOOKUP("industry|SO2|Premature mortality", US_national_yearly!$D:$AM, 10, FALSE), 1)</f>
        <v>4.7504460151621044E-3</v>
      </c>
      <c r="E2" s="7">
        <f>$B2 * IFERROR(VLOOKUP("industry|SO2|Premature mortality", US_national_yearly!$D:$AM, 13, FALSE) / VLOOKUP("industry|SO2|Premature mortality", US_national_yearly!$D:$AM, 10, FALSE), 1)</f>
        <v>4.8091778807681108E-3</v>
      </c>
      <c r="F2" s="7">
        <f>$B2 * IFERROR(VLOOKUP("industry|SO2|Premature mortality", US_national_yearly!$D:$AM, 14, FALSE) / VLOOKUP("industry|SO2|Premature mortality", US_national_yearly!$D:$AM, 10, FALSE), 1)</f>
        <v>4.8679097463741189E-3</v>
      </c>
      <c r="G2" s="7">
        <f>$B2 * IFERROR(VLOOKUP("industry|SO2|Premature mortality", US_national_yearly!$D:$AM, 15, FALSE) / VLOOKUP("industry|SO2|Premature mortality", US_national_yearly!$D:$AM, 10, FALSE), 1)</f>
        <v>4.9811132804037008E-3</v>
      </c>
      <c r="H2" s="7">
        <f>$B2 * IFERROR(VLOOKUP("industry|SO2|Premature mortality", US_national_yearly!$D:$AM, 16, FALSE) / VLOOKUP("industry|SO2|Premature mortality", US_national_yearly!$D:$AM, 10, FALSE), 1)</f>
        <v>5.0943168144332827E-3</v>
      </c>
      <c r="I2" s="7">
        <f>$B2 * IFERROR(VLOOKUP("industry|SO2|Premature mortality", US_national_yearly!$D:$AM, 17, FALSE) / VLOOKUP("industry|SO2|Premature mortality", US_national_yearly!$D:$AM, 10, FALSE), 1)</f>
        <v>5.1692768813186218E-3</v>
      </c>
      <c r="J2" s="7">
        <f>$B2 * IFERROR(VLOOKUP("industry|SO2|Premature mortality", US_national_yearly!$D:$AM, 18, FALSE) / VLOOKUP("industry|SO2|Premature mortality", US_national_yearly!$D:$AM, 10, FALSE), 1)</f>
        <v>5.2442369482039609E-3</v>
      </c>
      <c r="K2" s="7">
        <f>$B2 * IFERROR(VLOOKUP("industry|SO2|Premature mortality", US_national_yearly!$D:$AM, 19, FALSE) / VLOOKUP("industry|SO2|Premature mortality", US_national_yearly!$D:$AM, 10, FALSE), 1)</f>
        <v>5.3191970150892999E-3</v>
      </c>
      <c r="L2" s="7">
        <f>$B2 * IFERROR(VLOOKUP("industry|SO2|Premature mortality", US_national_yearly!$D:$AM, 20, FALSE) / VLOOKUP("industry|SO2|Premature mortality", US_national_yearly!$D:$AM, 10, FALSE), 1)</f>
        <v>5.394157081974639E-3</v>
      </c>
      <c r="M2" s="7">
        <f>$B2 * IFERROR(VLOOKUP("industry|SO2|Premature mortality", US_national_yearly!$D:$AM, 21, FALSE) / VLOOKUP("industry|SO2|Premature mortality", US_national_yearly!$D:$AM, 10, FALSE), 1)</f>
        <v>5.4691171488599781E-3</v>
      </c>
      <c r="N2" s="7">
        <f>$B2 * IFERROR(VLOOKUP("industry|SO2|Premature mortality", US_national_yearly!$D:$AM, 22, FALSE) / VLOOKUP("industry|SO2|Premature mortality", US_national_yearly!$D:$AM, 10, FALSE), 1)</f>
        <v>5.5277537437718651E-3</v>
      </c>
      <c r="O2" s="7">
        <f>$B2 * IFERROR(VLOOKUP("industry|SO2|Premature mortality", US_national_yearly!$D:$AM, 23, FALSE) / VLOOKUP("industry|SO2|Premature mortality", US_national_yearly!$D:$AM, 10, FALSE), 1)</f>
        <v>5.5863903386837522E-3</v>
      </c>
      <c r="P2" s="7">
        <f>$B2 * IFERROR(VLOOKUP("industry|SO2|Premature mortality", US_national_yearly!$D:$AM, 24, FALSE) / VLOOKUP("industry|SO2|Premature mortality", US_national_yearly!$D:$AM, 10, FALSE), 1)</f>
        <v>5.6450269335956392E-3</v>
      </c>
      <c r="Q2" s="7">
        <f>$B2 * IFERROR(VLOOKUP("industry|SO2|Premature mortality", US_national_yearly!$D:$AM, 25, FALSE) / VLOOKUP("industry|SO2|Premature mortality", US_national_yearly!$D:$AM, 10, FALSE), 1)</f>
        <v>5.7036635285075262E-3</v>
      </c>
      <c r="R2" s="7">
        <f>$B2 * IFERROR(VLOOKUP("industry|SO2|Premature mortality", US_national_yearly!$D:$AM, 26, FALSE) / VLOOKUP("industry|SO2|Premature mortality", US_national_yearly!$D:$AM, 10, FALSE), 1)</f>
        <v>5.7623001234194133E-3</v>
      </c>
      <c r="S2" s="7">
        <f>$B2 * IFERROR(VLOOKUP("industry|SO2|Premature mortality", US_national_yearly!$D:$AM, 27, FALSE) / VLOOKUP("industry|SO2|Premature mortality", US_national_yearly!$D:$AM, 10, FALSE), 1)</f>
        <v>5.7939606543417274E-3</v>
      </c>
      <c r="T2" s="7">
        <f>$B2 * IFERROR(VLOOKUP("industry|SO2|Premature mortality", US_national_yearly!$D:$AM, 28, FALSE) / VLOOKUP("industry|SO2|Premature mortality", US_national_yearly!$D:$AM, 10, FALSE), 1)</f>
        <v>5.8256211852640424E-3</v>
      </c>
      <c r="U2" s="7">
        <f>$B2 * IFERROR(VLOOKUP("industry|SO2|Premature mortality", US_national_yearly!$D:$AM, 29, FALSE) / VLOOKUP("industry|SO2|Premature mortality", US_national_yearly!$D:$AM, 10, FALSE), 1)</f>
        <v>5.8572817161863591E-3</v>
      </c>
      <c r="V2" s="7">
        <f>$B2 * IFERROR(VLOOKUP("industry|SO2|Premature mortality", US_national_yearly!$D:$AM, 30, FALSE) / VLOOKUP("industry|SO2|Premature mortality", US_national_yearly!$D:$AM, 10, FALSE), 1)</f>
        <v>5.8889422471086741E-3</v>
      </c>
      <c r="W2" s="7">
        <f>$B2 * IFERROR(VLOOKUP("industry|SO2|Premature mortality", US_national_yearly!$D:$AM, 31, FALSE) / VLOOKUP("industry|SO2|Premature mortality", US_national_yearly!$D:$AM, 10, FALSE), 1)</f>
        <v>5.92060277803099E-3</v>
      </c>
      <c r="X2" s="7">
        <f>$B2 * IFERROR(VLOOKUP("industry|SO2|Premature mortality", US_national_yearly!$D:$AM, 32, FALSE) / VLOOKUP("industry|SO2|Premature mortality", US_national_yearly!$D:$AM, 10, FALSE), 1)</f>
        <v>5.9274170903719694E-3</v>
      </c>
      <c r="Y2" s="7">
        <f>$B2 * IFERROR(VLOOKUP("industry|SO2|Premature mortality", US_national_yearly!$D:$AM, 33, FALSE) / VLOOKUP("industry|SO2|Premature mortality", US_national_yearly!$D:$AM, 10, FALSE), 1)</f>
        <v>5.9342314027129497E-3</v>
      </c>
      <c r="Z2" s="7">
        <f>$B2 * IFERROR(VLOOKUP("industry|SO2|Premature mortality", US_national_yearly!$D:$AM, 34, FALSE) / VLOOKUP("industry|SO2|Premature mortality", US_national_yearly!$D:$AM, 10, FALSE), 1)</f>
        <v>5.94104571505393E-3</v>
      </c>
      <c r="AA2" s="7">
        <f>$B2 * IFERROR(VLOOKUP("industry|SO2|Premature mortality", US_national_yearly!$D:$AM, 35, FALSE) / VLOOKUP("industry|SO2|Premature mortality", US_national_yearly!$D:$AM, 10, FALSE), 1)</f>
        <v>5.9478600273949103E-3</v>
      </c>
      <c r="AB2" s="7">
        <f>$B2 * IFERROR(VLOOKUP("industry|SO2|Premature mortality", US_national_yearly!$D:$AM, 36, FALSE) / VLOOKUP("industry|SO2|Premature mortality", US_national_yearly!$D:$AM, 10, FALSE), 1)</f>
        <v>5.9546743397358897E-3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9.1655613928835228E-6</v>
      </c>
      <c r="C3" s="7">
        <f>$B3 * IFERROR(VLOOKUP("industry|SO2|Infant mortality", US_national_yearly!$D:$AM, 11, FALSE) / VLOOKUP("industry|SO2|Infant mortality", US_national_yearly!$D:$AM, 10, FALSE), 1)</f>
        <v>9.0867093614021502E-6</v>
      </c>
      <c r="D3" s="7">
        <f>$B3 * IFERROR(VLOOKUP("industry|SO2|Infant mortality", US_national_yearly!$D:$AM, 12, FALSE) / VLOOKUP("industry|SO2|Infant mortality", US_national_yearly!$D:$AM, 10, FALSE), 1)</f>
        <v>9.0078573299207793E-6</v>
      </c>
      <c r="E3" s="7">
        <f>$B3 * IFERROR(VLOOKUP("industry|SO2|Infant mortality", US_national_yearly!$D:$AM, 13, FALSE) / VLOOKUP("industry|SO2|Infant mortality", US_national_yearly!$D:$AM, 10, FALSE), 1)</f>
        <v>8.9290052984394067E-6</v>
      </c>
      <c r="F3" s="7">
        <f>$B3 * IFERROR(VLOOKUP("industry|SO2|Infant mortality", US_national_yearly!$D:$AM, 14, FALSE) / VLOOKUP("industry|SO2|Infant mortality", US_national_yearly!$D:$AM, 10, FALSE), 1)</f>
        <v>8.8501532669580358E-6</v>
      </c>
      <c r="G3" s="7">
        <f>$B3 * IFERROR(VLOOKUP("industry|SO2|Infant mortality", US_national_yearly!$D:$AM, 15, FALSE) / VLOOKUP("industry|SO2|Infant mortality", US_national_yearly!$D:$AM, 10, FALSE), 1)</f>
        <v>5.891532394025858E-6</v>
      </c>
      <c r="H3" s="7">
        <f>$B3 * IFERROR(VLOOKUP("industry|SO2|Infant mortality", US_national_yearly!$D:$AM, 16, FALSE) / VLOOKUP("industry|SO2|Infant mortality", US_national_yearly!$D:$AM, 10, FALSE), 1)</f>
        <v>2.9329115210936798E-6</v>
      </c>
      <c r="I3" s="7">
        <f>$B3 * IFERROR(VLOOKUP("industry|SO2|Infant mortality", US_national_yearly!$D:$AM, 17, FALSE) / VLOOKUP("industry|SO2|Infant mortality", US_national_yearly!$D:$AM, 10, FALSE), 1)</f>
        <v>2.9142877830849062E-6</v>
      </c>
      <c r="J3" s="7">
        <f>$B3 * IFERROR(VLOOKUP("industry|SO2|Infant mortality", US_national_yearly!$D:$AM, 18, FALSE) / VLOOKUP("industry|SO2|Infant mortality", US_national_yearly!$D:$AM, 10, FALSE), 1)</f>
        <v>2.8956640450761326E-6</v>
      </c>
      <c r="K3" s="7">
        <f>$B3 * IFERROR(VLOOKUP("industry|SO2|Infant mortality", US_national_yearly!$D:$AM, 19, FALSE) / VLOOKUP("industry|SO2|Infant mortality", US_national_yearly!$D:$AM, 10, FALSE), 1)</f>
        <v>2.877040307067359E-6</v>
      </c>
      <c r="L3" s="7">
        <f>$B3 * IFERROR(VLOOKUP("industry|SO2|Infant mortality", US_national_yearly!$D:$AM, 20, FALSE) / VLOOKUP("industry|SO2|Infant mortality", US_national_yearly!$D:$AM, 10, FALSE), 1)</f>
        <v>2.8584165690585858E-6</v>
      </c>
      <c r="M3" s="7">
        <f>$B3 * IFERROR(VLOOKUP("industry|SO2|Infant mortality", US_national_yearly!$D:$AM, 21, FALSE) / VLOOKUP("industry|SO2|Infant mortality", US_national_yearly!$D:$AM, 10, FALSE), 1)</f>
        <v>2.8397928310498121E-6</v>
      </c>
      <c r="N3" s="7">
        <f>$B3 * IFERROR(VLOOKUP("industry|SO2|Infant mortality", US_national_yearly!$D:$AM, 22, FALSE) / VLOOKUP("industry|SO2|Infant mortality", US_national_yearly!$D:$AM, 10, FALSE), 1)</f>
        <v>2.8279890184065047E-6</v>
      </c>
      <c r="O3" s="7">
        <f>$B3 * IFERROR(VLOOKUP("industry|SO2|Infant mortality", US_national_yearly!$D:$AM, 23, FALSE) / VLOOKUP("industry|SO2|Infant mortality", US_national_yearly!$D:$AM, 10, FALSE), 1)</f>
        <v>2.8161852057631973E-6</v>
      </c>
      <c r="P3" s="7">
        <f>$B3 * IFERROR(VLOOKUP("industry|SO2|Infant mortality", US_national_yearly!$D:$AM, 24, FALSE) / VLOOKUP("industry|SO2|Infant mortality", US_national_yearly!$D:$AM, 10, FALSE), 1)</f>
        <v>2.8043813931198903E-6</v>
      </c>
      <c r="Q3" s="7">
        <f>$B3 * IFERROR(VLOOKUP("industry|SO2|Infant mortality", US_national_yearly!$D:$AM, 25, FALSE) / VLOOKUP("industry|SO2|Infant mortality", US_national_yearly!$D:$AM, 10, FALSE), 1)</f>
        <v>2.7925775804765828E-6</v>
      </c>
      <c r="R3" s="7">
        <f>$B3 * IFERROR(VLOOKUP("industry|SO2|Infant mortality", US_national_yearly!$D:$AM, 26, FALSE) / VLOOKUP("industry|SO2|Infant mortality", US_national_yearly!$D:$AM, 10, FALSE), 1)</f>
        <v>2.7807737678332754E-6</v>
      </c>
      <c r="S3" s="7">
        <f>$B3 * IFERROR(VLOOKUP("industry|SO2|Infant mortality", US_national_yearly!$D:$AM, 27, FALSE) / VLOOKUP("industry|SO2|Infant mortality", US_national_yearly!$D:$AM, 10, FALSE), 1)</f>
        <v>2.7660840576528457E-6</v>
      </c>
      <c r="T3" s="7">
        <f>$B3 * IFERROR(VLOOKUP("industry|SO2|Infant mortality", US_national_yearly!$D:$AM, 28, FALSE) / VLOOKUP("industry|SO2|Infant mortality", US_national_yearly!$D:$AM, 10, FALSE), 1)</f>
        <v>2.7513943474724161E-6</v>
      </c>
      <c r="U3" s="7">
        <f>$B3 * IFERROR(VLOOKUP("industry|SO2|Infant mortality", US_national_yearly!$D:$AM, 29, FALSE) / VLOOKUP("industry|SO2|Infant mortality", US_national_yearly!$D:$AM, 10, FALSE), 1)</f>
        <v>2.7367046372919864E-6</v>
      </c>
      <c r="V3" s="7">
        <f>$B3 * IFERROR(VLOOKUP("industry|SO2|Infant mortality", US_national_yearly!$D:$AM, 30, FALSE) / VLOOKUP("industry|SO2|Infant mortality", US_national_yearly!$D:$AM, 10, FALSE), 1)</f>
        <v>2.7220149271115568E-6</v>
      </c>
      <c r="W3" s="7">
        <f>$B3 * IFERROR(VLOOKUP("industry|SO2|Infant mortality", US_national_yearly!$D:$AM, 31, FALSE) / VLOOKUP("industry|SO2|Infant mortality", US_national_yearly!$D:$AM, 10, FALSE), 1)</f>
        <v>2.7073252169311271E-6</v>
      </c>
      <c r="X3" s="7">
        <f>$B3 * IFERROR(VLOOKUP("industry|SO2|Infant mortality", US_national_yearly!$D:$AM, 32, FALSE) / VLOOKUP("industry|SO2|Infant mortality", US_national_yearly!$D:$AM, 10, FALSE), 1)</f>
        <v>2.6913618856843555E-6</v>
      </c>
      <c r="Y3" s="7">
        <f>$B3 * IFERROR(VLOOKUP("industry|SO2|Infant mortality", US_national_yearly!$D:$AM, 33, FALSE) / VLOOKUP("industry|SO2|Infant mortality", US_national_yearly!$D:$AM, 10, FALSE), 1)</f>
        <v>2.6753985544375835E-6</v>
      </c>
      <c r="Z3" s="7">
        <f>$B3 * IFERROR(VLOOKUP("industry|SO2|Infant mortality", US_national_yearly!$D:$AM, 34, FALSE) / VLOOKUP("industry|SO2|Infant mortality", US_national_yearly!$D:$AM, 10, FALSE), 1)</f>
        <v>2.6594352231908114E-6</v>
      </c>
      <c r="AA3" s="7">
        <f>$B3 * IFERROR(VLOOKUP("industry|SO2|Infant mortality", US_national_yearly!$D:$AM, 35, FALSE) / VLOOKUP("industry|SO2|Infant mortality", US_national_yearly!$D:$AM, 10, FALSE), 1)</f>
        <v>2.6434718919440394E-6</v>
      </c>
      <c r="AB3" s="7">
        <f>$B3 * IFERROR(VLOOKUP("industry|SO2|Infant mortality", US_national_yearly!$D:$AM, 36, FALSE) / VLOOKUP("industry|SO2|Infant mortality", US_national_yearly!$D:$AM, 10, FALSE), 1)</f>
        <v>2.6275085606972673E-6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1.2327833833140976E-2</v>
      </c>
      <c r="C6" s="7">
        <f>$B6 * IFERROR(VLOOKUP("industry|SO2|Asthma symptoms cough", US_national_yearly!$D:$AM, 11, FALSE) / VLOOKUP("industry|SO2|Asthma symptoms cough", US_national_yearly!$D:$AM, 10, FALSE), 1)</f>
        <v>1.2327833833140976E-2</v>
      </c>
      <c r="D6" s="7">
        <f>$B6 * IFERROR(VLOOKUP("industry|SO2|Asthma symptoms cough", US_national_yearly!$D:$AM, 12, FALSE) / VLOOKUP("industry|SO2|Asthma symptoms cough", US_national_yearly!$D:$AM, 10, FALSE), 1)</f>
        <v>1.2327833833140976E-2</v>
      </c>
      <c r="E6" s="7">
        <f>$B6 * IFERROR(VLOOKUP("industry|SO2|Asthma symptoms cough", US_national_yearly!$D:$AM, 13, FALSE) / VLOOKUP("industry|SO2|Asthma symptoms cough", US_national_yearly!$D:$AM, 10, FALSE), 1)</f>
        <v>1.2327833833140976E-2</v>
      </c>
      <c r="F6" s="7">
        <f>$B6 * IFERROR(VLOOKUP("industry|SO2|Asthma symptoms cough", US_national_yearly!$D:$AM, 14, FALSE) / VLOOKUP("industry|SO2|Asthma symptoms cough", US_national_yearly!$D:$AM, 10, FALSE), 1)</f>
        <v>1.2327833833140976E-2</v>
      </c>
      <c r="G6" s="7">
        <f>$B6 * IFERROR(VLOOKUP("industry|SO2|Asthma symptoms cough", US_national_yearly!$D:$AM, 15, FALSE) / VLOOKUP("industry|SO2|Asthma symptoms cough", US_national_yearly!$D:$AM, 10, FALSE), 1)</f>
        <v>1.2327833833140976E-2</v>
      </c>
      <c r="H6" s="7">
        <f>$B6 * IFERROR(VLOOKUP("industry|SO2|Asthma symptoms cough", US_national_yearly!$D:$AM, 16, FALSE) / VLOOKUP("industry|SO2|Asthma symptoms cough", US_national_yearly!$D:$AM, 10, FALSE), 1)</f>
        <v>1.2327833833140976E-2</v>
      </c>
      <c r="I6" s="7">
        <f>$B6 * IFERROR(VLOOKUP("industry|SO2|Asthma symptoms cough", US_national_yearly!$D:$AM, 17, FALSE) / VLOOKUP("industry|SO2|Asthma symptoms cough", US_national_yearly!$D:$AM, 10, FALSE), 1)</f>
        <v>1.2327833833140976E-2</v>
      </c>
      <c r="J6" s="7">
        <f>$B6 * IFERROR(VLOOKUP("industry|SO2|Asthma symptoms cough", US_national_yearly!$D:$AM, 18, FALSE) / VLOOKUP("industry|SO2|Asthma symptoms cough", US_national_yearly!$D:$AM, 10, FALSE), 1)</f>
        <v>1.2327833833140976E-2</v>
      </c>
      <c r="K6" s="7">
        <f>$B6 * IFERROR(VLOOKUP("industry|SO2|Asthma symptoms cough", US_national_yearly!$D:$AM, 19, FALSE) / VLOOKUP("industry|SO2|Asthma symptoms cough", US_national_yearly!$D:$AM, 10, FALSE), 1)</f>
        <v>1.2327833833140976E-2</v>
      </c>
      <c r="L6" s="7">
        <f>$B6 * IFERROR(VLOOKUP("industry|SO2|Asthma symptoms cough", US_national_yearly!$D:$AM, 20, FALSE) / VLOOKUP("industry|SO2|Asthma symptoms cough", US_national_yearly!$D:$AM, 10, FALSE), 1)</f>
        <v>1.2327833833140976E-2</v>
      </c>
      <c r="M6" s="7">
        <f>$B6 * IFERROR(VLOOKUP("industry|SO2|Asthma symptoms cough", US_national_yearly!$D:$AM, 21, FALSE) / VLOOKUP("industry|SO2|Asthma symptoms cough", US_national_yearly!$D:$AM, 10, FALSE), 1)</f>
        <v>1.2327833833140976E-2</v>
      </c>
      <c r="N6" s="7">
        <f>$B6 * IFERROR(VLOOKUP("industry|SO2|Asthma symptoms cough", US_national_yearly!$D:$AM, 22, FALSE) / VLOOKUP("industry|SO2|Asthma symptoms cough", US_national_yearly!$D:$AM, 10, FALSE), 1)</f>
        <v>1.2327833833140976E-2</v>
      </c>
      <c r="O6" s="7">
        <f>$B6 * IFERROR(VLOOKUP("industry|SO2|Asthma symptoms cough", US_national_yearly!$D:$AM, 23, FALSE) / VLOOKUP("industry|SO2|Asthma symptoms cough", US_national_yearly!$D:$AM, 10, FALSE), 1)</f>
        <v>1.2327833833140976E-2</v>
      </c>
      <c r="P6" s="7">
        <f>$B6 * IFERROR(VLOOKUP("industry|SO2|Asthma symptoms cough", US_national_yearly!$D:$AM, 24, FALSE) / VLOOKUP("industry|SO2|Asthma symptoms cough", US_national_yearly!$D:$AM, 10, FALSE), 1)</f>
        <v>1.2327833833140976E-2</v>
      </c>
      <c r="Q6" s="7">
        <f>$B6 * IFERROR(VLOOKUP("industry|SO2|Asthma symptoms cough", US_national_yearly!$D:$AM, 25, FALSE) / VLOOKUP("industry|SO2|Asthma symptoms cough", US_national_yearly!$D:$AM, 10, FALSE), 1)</f>
        <v>1.2327833833140976E-2</v>
      </c>
      <c r="R6" s="7">
        <f>$B6 * IFERROR(VLOOKUP("industry|SO2|Asthma symptoms cough", US_national_yearly!$D:$AM, 26, FALSE) / VLOOKUP("industry|SO2|Asthma symptoms cough", US_national_yearly!$D:$AM, 10, FALSE), 1)</f>
        <v>1.2327833833140976E-2</v>
      </c>
      <c r="S6" s="7">
        <f>$B6 * IFERROR(VLOOKUP("industry|SO2|Asthma symptoms cough", US_national_yearly!$D:$AM, 27, FALSE) / VLOOKUP("industry|SO2|Asthma symptoms cough", US_national_yearly!$D:$AM, 10, FALSE), 1)</f>
        <v>1.2327833833140976E-2</v>
      </c>
      <c r="T6" s="7">
        <f>$B6 * IFERROR(VLOOKUP("industry|SO2|Asthma symptoms cough", US_national_yearly!$D:$AM, 28, FALSE) / VLOOKUP("industry|SO2|Asthma symptoms cough", US_national_yearly!$D:$AM, 10, FALSE), 1)</f>
        <v>1.2327833833140976E-2</v>
      </c>
      <c r="U6" s="7">
        <f>$B6 * IFERROR(VLOOKUP("industry|SO2|Asthma symptoms cough", US_national_yearly!$D:$AM, 29, FALSE) / VLOOKUP("industry|SO2|Asthma symptoms cough", US_national_yearly!$D:$AM, 10, FALSE), 1)</f>
        <v>1.2327833833140976E-2</v>
      </c>
      <c r="V6" s="7">
        <f>$B6 * IFERROR(VLOOKUP("industry|SO2|Asthma symptoms cough", US_national_yearly!$D:$AM, 30, FALSE) / VLOOKUP("industry|SO2|Asthma symptoms cough", US_national_yearly!$D:$AM, 10, FALSE), 1)</f>
        <v>1.2327833833140976E-2</v>
      </c>
      <c r="W6" s="7">
        <f>$B6 * IFERROR(VLOOKUP("industry|SO2|Asthma symptoms cough", US_national_yearly!$D:$AM, 31, FALSE) / VLOOKUP("industry|SO2|Asthma symptoms cough", US_national_yearly!$D:$AM, 10, FALSE), 1)</f>
        <v>1.2327833833140976E-2</v>
      </c>
      <c r="X6" s="7">
        <f>$B6 * IFERROR(VLOOKUP("industry|SO2|Asthma symptoms cough", US_national_yearly!$D:$AM, 32, FALSE) / VLOOKUP("industry|SO2|Asthma symptoms cough", US_national_yearly!$D:$AM, 10, FALSE), 1)</f>
        <v>1.2327833833140976E-2</v>
      </c>
      <c r="Y6" s="7">
        <f>$B6 * IFERROR(VLOOKUP("industry|SO2|Asthma symptoms cough", US_national_yearly!$D:$AM, 33, FALSE) / VLOOKUP("industry|SO2|Asthma symptoms cough", US_national_yearly!$D:$AM, 10, FALSE), 1)</f>
        <v>1.2327833833140976E-2</v>
      </c>
      <c r="Z6" s="7">
        <f>$B6 * IFERROR(VLOOKUP("industry|SO2|Asthma symptoms cough", US_national_yearly!$D:$AM, 34, FALSE) / VLOOKUP("industry|SO2|Asthma symptoms cough", US_national_yearly!$D:$AM, 10, FALSE), 1)</f>
        <v>1.2327833833140976E-2</v>
      </c>
      <c r="AA6" s="7">
        <f>$B6 * IFERROR(VLOOKUP("industry|SO2|Asthma symptoms cough", US_national_yearly!$D:$AM, 35, FALSE) / VLOOKUP("industry|SO2|Asthma symptoms cough", US_national_yearly!$D:$AM, 10, FALSE), 1)</f>
        <v>1.2327833833140976E-2</v>
      </c>
      <c r="AB6" s="7">
        <f>$B6 * IFERROR(VLOOKUP("industry|SO2|Asthma symptoms cough", US_national_yearly!$D:$AM, 36, FALSE) / VLOOKUP("industry|SO2|Asthma symptoms cough", US_national_yearly!$D:$AM, 10, FALSE), 1)</f>
        <v>1.2327833833140976E-2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1.6601161114415171E-2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1.6601161114415171E-2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1.6601161114415171E-2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1.6601161114415171E-2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1.6601161114415171E-2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1.6601161114415171E-2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1.6601161114415171E-2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1.6601161114415171E-2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1.6601161114415171E-2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1.6601161114415171E-2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1.6601161114415171E-2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1.6601161114415171E-2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1.6601161114415171E-2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1.6601161114415171E-2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1.6601161114415171E-2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1.6601161114415171E-2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1.6601161114415171E-2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1.6601161114415171E-2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1.6601161114415171E-2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1.6601161114415171E-2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1.6601161114415171E-2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1.6601161114415171E-2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1.6601161114415171E-2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1.6601161114415171E-2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1.6601161114415171E-2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1.6601161114415171E-2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1.6601161114415171E-2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2.5363960301953023E-2</v>
      </c>
      <c r="C8" s="7">
        <f>$B8 * IFERROR(VLOOKUP("industry|SO2|Asthma symptoms wheeze", US_national_yearly!$D:$AM, 11, FALSE) / VLOOKUP("industry|SO2|Asthma symptoms wheeze", US_national_yearly!$D:$AM, 10, FALSE), 1)</f>
        <v>2.5363960301953023E-2</v>
      </c>
      <c r="D8" s="7">
        <f>$B8 * IFERROR(VLOOKUP("industry|SO2|Asthma symptoms wheeze", US_national_yearly!$D:$AM, 12, FALSE) / VLOOKUP("industry|SO2|Asthma symptoms wheeze", US_national_yearly!$D:$AM, 10, FALSE), 1)</f>
        <v>2.5363960301953023E-2</v>
      </c>
      <c r="E8" s="7">
        <f>$B8 * IFERROR(VLOOKUP("industry|SO2|Asthma symptoms wheeze", US_national_yearly!$D:$AM, 13, FALSE) / VLOOKUP("industry|SO2|Asthma symptoms wheeze", US_national_yearly!$D:$AM, 10, FALSE), 1)</f>
        <v>2.5363960301953023E-2</v>
      </c>
      <c r="F8" s="7">
        <f>$B8 * IFERROR(VLOOKUP("industry|SO2|Asthma symptoms wheeze", US_national_yearly!$D:$AM, 14, FALSE) / VLOOKUP("industry|SO2|Asthma symptoms wheeze", US_national_yearly!$D:$AM, 10, FALSE), 1)</f>
        <v>2.5363960301953023E-2</v>
      </c>
      <c r="G8" s="7">
        <f>$B8 * IFERROR(VLOOKUP("industry|SO2|Asthma symptoms wheeze", US_national_yearly!$D:$AM, 15, FALSE) / VLOOKUP("industry|SO2|Asthma symptoms wheeze", US_national_yearly!$D:$AM, 10, FALSE), 1)</f>
        <v>2.5363960301953023E-2</v>
      </c>
      <c r="H8" s="7">
        <f>$B8 * IFERROR(VLOOKUP("industry|SO2|Asthma symptoms wheeze", US_national_yearly!$D:$AM, 16, FALSE) / VLOOKUP("industry|SO2|Asthma symptoms wheeze", US_national_yearly!$D:$AM, 10, FALSE), 1)</f>
        <v>2.5363960301953023E-2</v>
      </c>
      <c r="I8" s="7">
        <f>$B8 * IFERROR(VLOOKUP("industry|SO2|Asthma symptoms wheeze", US_national_yearly!$D:$AM, 17, FALSE) / VLOOKUP("industry|SO2|Asthma symptoms wheeze", US_national_yearly!$D:$AM, 10, FALSE), 1)</f>
        <v>2.5363960301953023E-2</v>
      </c>
      <c r="J8" s="7">
        <f>$B8 * IFERROR(VLOOKUP("industry|SO2|Asthma symptoms wheeze", US_national_yearly!$D:$AM, 18, FALSE) / VLOOKUP("industry|SO2|Asthma symptoms wheeze", US_national_yearly!$D:$AM, 10, FALSE), 1)</f>
        <v>2.5363960301953023E-2</v>
      </c>
      <c r="K8" s="7">
        <f>$B8 * IFERROR(VLOOKUP("industry|SO2|Asthma symptoms wheeze", US_national_yearly!$D:$AM, 19, FALSE) / VLOOKUP("industry|SO2|Asthma symptoms wheeze", US_national_yearly!$D:$AM, 10, FALSE), 1)</f>
        <v>2.5363960301953023E-2</v>
      </c>
      <c r="L8" s="7">
        <f>$B8 * IFERROR(VLOOKUP("industry|SO2|Asthma symptoms wheeze", US_national_yearly!$D:$AM, 20, FALSE) / VLOOKUP("industry|SO2|Asthma symptoms wheeze", US_national_yearly!$D:$AM, 10, FALSE), 1)</f>
        <v>2.5363960301953023E-2</v>
      </c>
      <c r="M8" s="7">
        <f>$B8 * IFERROR(VLOOKUP("industry|SO2|Asthma symptoms wheeze", US_national_yearly!$D:$AM, 21, FALSE) / VLOOKUP("industry|SO2|Asthma symptoms wheeze", US_national_yearly!$D:$AM, 10, FALSE), 1)</f>
        <v>2.5363960301953023E-2</v>
      </c>
      <c r="N8" s="7">
        <f>$B8 * IFERROR(VLOOKUP("industry|SO2|Asthma symptoms wheeze", US_national_yearly!$D:$AM, 22, FALSE) / VLOOKUP("industry|SO2|Asthma symptoms wheeze", US_national_yearly!$D:$AM, 10, FALSE), 1)</f>
        <v>2.5363960301953023E-2</v>
      </c>
      <c r="O8" s="7">
        <f>$B8 * IFERROR(VLOOKUP("industry|SO2|Asthma symptoms wheeze", US_national_yearly!$D:$AM, 23, FALSE) / VLOOKUP("industry|SO2|Asthma symptoms wheeze", US_national_yearly!$D:$AM, 10, FALSE), 1)</f>
        <v>2.5363960301953023E-2</v>
      </c>
      <c r="P8" s="7">
        <f>$B8 * IFERROR(VLOOKUP("industry|SO2|Asthma symptoms wheeze", US_national_yearly!$D:$AM, 24, FALSE) / VLOOKUP("industry|SO2|Asthma symptoms wheeze", US_national_yearly!$D:$AM, 10, FALSE), 1)</f>
        <v>2.5363960301953023E-2</v>
      </c>
      <c r="Q8" s="7">
        <f>$B8 * IFERROR(VLOOKUP("industry|SO2|Asthma symptoms wheeze", US_national_yearly!$D:$AM, 25, FALSE) / VLOOKUP("industry|SO2|Asthma symptoms wheeze", US_national_yearly!$D:$AM, 10, FALSE), 1)</f>
        <v>2.5363960301953023E-2</v>
      </c>
      <c r="R8" s="7">
        <f>$B8 * IFERROR(VLOOKUP("industry|SO2|Asthma symptoms wheeze", US_national_yearly!$D:$AM, 26, FALSE) / VLOOKUP("industry|SO2|Asthma symptoms wheeze", US_national_yearly!$D:$AM, 10, FALSE), 1)</f>
        <v>2.5363960301953023E-2</v>
      </c>
      <c r="S8" s="7">
        <f>$B8 * IFERROR(VLOOKUP("industry|SO2|Asthma symptoms wheeze", US_national_yearly!$D:$AM, 27, FALSE) / VLOOKUP("industry|SO2|Asthma symptoms wheeze", US_national_yearly!$D:$AM, 10, FALSE), 1)</f>
        <v>2.5363960301953023E-2</v>
      </c>
      <c r="T8" s="7">
        <f>$B8 * IFERROR(VLOOKUP("industry|SO2|Asthma symptoms wheeze", US_national_yearly!$D:$AM, 28, FALSE) / VLOOKUP("industry|SO2|Asthma symptoms wheeze", US_national_yearly!$D:$AM, 10, FALSE), 1)</f>
        <v>2.5363960301953023E-2</v>
      </c>
      <c r="U8" s="7">
        <f>$B8 * IFERROR(VLOOKUP("industry|SO2|Asthma symptoms wheeze", US_national_yearly!$D:$AM, 29, FALSE) / VLOOKUP("industry|SO2|Asthma symptoms wheeze", US_national_yearly!$D:$AM, 10, FALSE), 1)</f>
        <v>2.5363960301953023E-2</v>
      </c>
      <c r="V8" s="7">
        <f>$B8 * IFERROR(VLOOKUP("industry|SO2|Asthma symptoms wheeze", US_national_yearly!$D:$AM, 30, FALSE) / VLOOKUP("industry|SO2|Asthma symptoms wheeze", US_national_yearly!$D:$AM, 10, FALSE), 1)</f>
        <v>2.5363960301953023E-2</v>
      </c>
      <c r="W8" s="7">
        <f>$B8 * IFERROR(VLOOKUP("industry|SO2|Asthma symptoms wheeze", US_national_yearly!$D:$AM, 31, FALSE) / VLOOKUP("industry|SO2|Asthma symptoms wheeze", US_national_yearly!$D:$AM, 10, FALSE), 1)</f>
        <v>2.5363960301953023E-2</v>
      </c>
      <c r="X8" s="7">
        <f>$B8 * IFERROR(VLOOKUP("industry|SO2|Asthma symptoms wheeze", US_national_yearly!$D:$AM, 32, FALSE) / VLOOKUP("industry|SO2|Asthma symptoms wheeze", US_national_yearly!$D:$AM, 10, FALSE), 1)</f>
        <v>2.5363960301953023E-2</v>
      </c>
      <c r="Y8" s="7">
        <f>$B8 * IFERROR(VLOOKUP("industry|SO2|Asthma symptoms wheeze", US_national_yearly!$D:$AM, 33, FALSE) / VLOOKUP("industry|SO2|Asthma symptoms wheeze", US_national_yearly!$D:$AM, 10, FALSE), 1)</f>
        <v>2.5363960301953023E-2</v>
      </c>
      <c r="Z8" s="7">
        <f>$B8 * IFERROR(VLOOKUP("industry|SO2|Asthma symptoms wheeze", US_national_yearly!$D:$AM, 34, FALSE) / VLOOKUP("industry|SO2|Asthma symptoms wheeze", US_national_yearly!$D:$AM, 10, FALSE), 1)</f>
        <v>2.5363960301953023E-2</v>
      </c>
      <c r="AA8" s="7">
        <f>$B8 * IFERROR(VLOOKUP("industry|SO2|Asthma symptoms wheeze", US_national_yearly!$D:$AM, 35, FALSE) / VLOOKUP("industry|SO2|Asthma symptoms wheeze", US_national_yearly!$D:$AM, 10, FALSE), 1)</f>
        <v>2.5363960301953023E-2</v>
      </c>
      <c r="AB8" s="7">
        <f>$B8 * IFERROR(VLOOKUP("industry|SO2|Asthma symptoms wheeze", US_national_yearly!$D:$AM, 36, FALSE) / VLOOKUP("industry|SO2|Asthma symptoms wheeze", US_national_yearly!$D:$AM, 10, FALSE), 1)</f>
        <v>2.5363960301953023E-2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3.5176410491002795E-4</v>
      </c>
      <c r="C12" s="7">
        <f>$B12 * IFERROR(VLOOKUP("industry|SO2|Respiratory hospital admissions", US_national_yearly!$D:$AM, 11, FALSE) / VLOOKUP("industry|SO2|Respiratory hospital admissions", US_national_yearly!$D:$AM, 10, FALSE), 1)</f>
        <v>3.5382477102897947E-4</v>
      </c>
      <c r="D12" s="7">
        <f>$B12 * IFERROR(VLOOKUP("industry|SO2|Respiratory hospital admissions", US_national_yearly!$D:$AM, 12, FALSE) / VLOOKUP("industry|SO2|Respiratory hospital admissions", US_national_yearly!$D:$AM, 10, FALSE), 1)</f>
        <v>3.5588543714793093E-4</v>
      </c>
      <c r="E12" s="7">
        <f>$B12 * IFERROR(VLOOKUP("industry|SO2|Respiratory hospital admissions", US_national_yearly!$D:$AM, 13, FALSE) / VLOOKUP("industry|SO2|Respiratory hospital admissions", US_national_yearly!$D:$AM, 10, FALSE), 1)</f>
        <v>3.5794610326688245E-4</v>
      </c>
      <c r="F12" s="7">
        <f>$B12 * IFERROR(VLOOKUP("industry|SO2|Respiratory hospital admissions", US_national_yearly!$D:$AM, 14, FALSE) / VLOOKUP("industry|SO2|Respiratory hospital admissions", US_national_yearly!$D:$AM, 10, FALSE), 1)</f>
        <v>3.6000676938583402E-4</v>
      </c>
      <c r="G12" s="7">
        <f>$B12 * IFERROR(VLOOKUP("industry|SO2|Respiratory hospital admissions", US_national_yearly!$D:$AM, 15, FALSE) / VLOOKUP("industry|SO2|Respiratory hospital admissions", US_national_yearly!$D:$AM, 10, FALSE), 1)</f>
        <v>3.6225329407523952E-4</v>
      </c>
      <c r="H12" s="7">
        <f>$B12 * IFERROR(VLOOKUP("industry|SO2|Respiratory hospital admissions", US_national_yearly!$D:$AM, 16, FALSE) / VLOOKUP("industry|SO2|Respiratory hospital admissions", US_national_yearly!$D:$AM, 10, FALSE), 1)</f>
        <v>3.6449981876464501E-4</v>
      </c>
      <c r="I12" s="7">
        <f>$B12 * IFERROR(VLOOKUP("industry|SO2|Respiratory hospital admissions", US_national_yearly!$D:$AM, 17, FALSE) / VLOOKUP("industry|SO2|Respiratory hospital admissions", US_national_yearly!$D:$AM, 10, FALSE), 1)</f>
        <v>3.6670627437481422E-4</v>
      </c>
      <c r="J12" s="7">
        <f>$B12 * IFERROR(VLOOKUP("industry|SO2|Respiratory hospital admissions", US_national_yearly!$D:$AM, 18, FALSE) / VLOOKUP("industry|SO2|Respiratory hospital admissions", US_national_yearly!$D:$AM, 10, FALSE), 1)</f>
        <v>3.6891272998498337E-4</v>
      </c>
      <c r="K12" s="7">
        <f>$B12 * IFERROR(VLOOKUP("industry|SO2|Respiratory hospital admissions", US_national_yearly!$D:$AM, 19, FALSE) / VLOOKUP("industry|SO2|Respiratory hospital admissions", US_national_yearly!$D:$AM, 10, FALSE), 1)</f>
        <v>3.7111918559515247E-4</v>
      </c>
      <c r="L12" s="7">
        <f>$B12 * IFERROR(VLOOKUP("industry|SO2|Respiratory hospital admissions", US_national_yearly!$D:$AM, 20, FALSE) / VLOOKUP("industry|SO2|Respiratory hospital admissions", US_national_yearly!$D:$AM, 10, FALSE), 1)</f>
        <v>3.7332564120532168E-4</v>
      </c>
      <c r="M12" s="7">
        <f>$B12 * IFERROR(VLOOKUP("industry|SO2|Respiratory hospital admissions", US_national_yearly!$D:$AM, 21, FALSE) / VLOOKUP("industry|SO2|Respiratory hospital admissions", US_national_yearly!$D:$AM, 10, FALSE), 1)</f>
        <v>3.7553209681549083E-4</v>
      </c>
      <c r="N12" s="7">
        <f>$B12 * IFERROR(VLOOKUP("industry|SO2|Respiratory hospital admissions", US_national_yearly!$D:$AM, 22, FALSE) / VLOOKUP("industry|SO2|Respiratory hospital admissions", US_national_yearly!$D:$AM, 10, FALSE), 1)</f>
        <v>3.7712871915115975E-4</v>
      </c>
      <c r="O12" s="7">
        <f>$B12 * IFERROR(VLOOKUP("industry|SO2|Respiratory hospital admissions", US_national_yearly!$D:$AM, 23, FALSE) / VLOOKUP("industry|SO2|Respiratory hospital admissions", US_national_yearly!$D:$AM, 10, FALSE), 1)</f>
        <v>3.7872534148682873E-4</v>
      </c>
      <c r="P12" s="7">
        <f>$B12 * IFERROR(VLOOKUP("industry|SO2|Respiratory hospital admissions", US_national_yearly!$D:$AM, 24, FALSE) / VLOOKUP("industry|SO2|Respiratory hospital admissions", US_national_yearly!$D:$AM, 10, FALSE), 1)</f>
        <v>3.803219638224976E-4</v>
      </c>
      <c r="Q12" s="7">
        <f>$B12 * IFERROR(VLOOKUP("industry|SO2|Respiratory hospital admissions", US_national_yearly!$D:$AM, 25, FALSE) / VLOOKUP("industry|SO2|Respiratory hospital admissions", US_national_yearly!$D:$AM, 10, FALSE), 1)</f>
        <v>3.8191858615816652E-4</v>
      </c>
      <c r="R12" s="7">
        <f>$B12 * IFERROR(VLOOKUP("industry|SO2|Respiratory hospital admissions", US_national_yearly!$D:$AM, 26, FALSE) / VLOOKUP("industry|SO2|Respiratory hospital admissions", US_national_yearly!$D:$AM, 10, FALSE), 1)</f>
        <v>3.8351520849383539E-4</v>
      </c>
      <c r="S12" s="7">
        <f>$B12 * IFERROR(VLOOKUP("industry|SO2|Respiratory hospital admissions", US_national_yearly!$D:$AM, 27, FALSE) / VLOOKUP("industry|SO2|Respiratory hospital admissions", US_national_yearly!$D:$AM, 10, FALSE), 1)</f>
        <v>3.8503255396815021E-4</v>
      </c>
      <c r="T12" s="7">
        <f>$B12 * IFERROR(VLOOKUP("industry|SO2|Respiratory hospital admissions", US_national_yearly!$D:$AM, 28, FALSE) / VLOOKUP("industry|SO2|Respiratory hospital admissions", US_national_yearly!$D:$AM, 10, FALSE), 1)</f>
        <v>3.8654989944246493E-4</v>
      </c>
      <c r="U12" s="7">
        <f>$B12 * IFERROR(VLOOKUP("industry|SO2|Respiratory hospital admissions", US_national_yearly!$D:$AM, 29, FALSE) / VLOOKUP("industry|SO2|Respiratory hospital admissions", US_national_yearly!$D:$AM, 10, FALSE), 1)</f>
        <v>3.8806724491677964E-4</v>
      </c>
      <c r="V12" s="7">
        <f>$B12 * IFERROR(VLOOKUP("industry|SO2|Respiratory hospital admissions", US_national_yearly!$D:$AM, 30, FALSE) / VLOOKUP("industry|SO2|Respiratory hospital admissions", US_national_yearly!$D:$AM, 10, FALSE), 1)</f>
        <v>3.8958459039109441E-4</v>
      </c>
      <c r="W12" s="7">
        <f>$B12 * IFERROR(VLOOKUP("industry|SO2|Respiratory hospital admissions", US_national_yearly!$D:$AM, 31, FALSE) / VLOOKUP("industry|SO2|Respiratory hospital admissions", US_national_yearly!$D:$AM, 10, FALSE), 1)</f>
        <v>3.9110193586540918E-4</v>
      </c>
      <c r="X12" s="7">
        <f>$B12 * IFERROR(VLOOKUP("industry|SO2|Respiratory hospital admissions", US_national_yearly!$D:$AM, 32, FALSE) / VLOOKUP("industry|SO2|Respiratory hospital admissions", US_national_yearly!$D:$AM, 10, FALSE), 1)</f>
        <v>3.9254282992121125E-4</v>
      </c>
      <c r="Y12" s="7">
        <f>$B12 * IFERROR(VLOOKUP("industry|SO2|Respiratory hospital admissions", US_national_yearly!$D:$AM, 33, FALSE) / VLOOKUP("industry|SO2|Respiratory hospital admissions", US_national_yearly!$D:$AM, 10, FALSE), 1)</f>
        <v>3.9398372397701336E-4</v>
      </c>
      <c r="Z12" s="7">
        <f>$B12 * IFERROR(VLOOKUP("industry|SO2|Respiratory hospital admissions", US_national_yearly!$D:$AM, 34, FALSE) / VLOOKUP("industry|SO2|Respiratory hospital admissions", US_national_yearly!$D:$AM, 10, FALSE), 1)</f>
        <v>3.9542461803281542E-4</v>
      </c>
      <c r="AA12" s="7">
        <f>$B12 * IFERROR(VLOOKUP("industry|SO2|Respiratory hospital admissions", US_national_yearly!$D:$AM, 35, FALSE) / VLOOKUP("industry|SO2|Respiratory hospital admissions", US_national_yearly!$D:$AM, 10, FALSE), 1)</f>
        <v>3.9686551208861748E-4</v>
      </c>
      <c r="AB12" s="7">
        <f>$B12 * IFERROR(VLOOKUP("industry|SO2|Respiratory hospital admissions", US_national_yearly!$D:$AM, 36, FALSE) / VLOOKUP("industry|SO2|Respiratory hospital admissions", US_national_yearly!$D:$AM, 10, FALSE), 1)</f>
        <v>3.9830640614441965E-4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2.1146516365041575E-3</v>
      </c>
      <c r="C13" s="7">
        <f>$B13 * IFERROR(VLOOKUP("industry|SO2|Non-fatal heart attacks", US_national_yearly!$D:$AM, 11, FALSE) / VLOOKUP("industry|SO2|Non-fatal heart attacks", US_national_yearly!$D:$AM, 10, FALSE), 1)</f>
        <v>2.1767298787445867E-3</v>
      </c>
      <c r="D13" s="7">
        <f>$B13 * IFERROR(VLOOKUP("industry|SO2|Non-fatal heart attacks", US_national_yearly!$D:$AM, 12, FALSE) / VLOOKUP("industry|SO2|Non-fatal heart attacks", US_national_yearly!$D:$AM, 10, FALSE), 1)</f>
        <v>2.2388081209850164E-3</v>
      </c>
      <c r="E13" s="7">
        <f>$B13 * IFERROR(VLOOKUP("industry|SO2|Non-fatal heart attacks", US_national_yearly!$D:$AM, 13, FALSE) / VLOOKUP("industry|SO2|Non-fatal heart attacks", US_national_yearly!$D:$AM, 10, FALSE), 1)</f>
        <v>2.3008863632254452E-3</v>
      </c>
      <c r="F13" s="7">
        <f>$B13 * IFERROR(VLOOKUP("industry|SO2|Non-fatal heart attacks", US_national_yearly!$D:$AM, 14, FALSE) / VLOOKUP("industry|SO2|Non-fatal heart attacks", US_national_yearly!$D:$AM, 10, FALSE), 1)</f>
        <v>2.3629646054658753E-3</v>
      </c>
      <c r="G13" s="7">
        <f>$B13 * IFERROR(VLOOKUP("industry|SO2|Non-fatal heart attacks", US_national_yearly!$D:$AM, 15, FALSE) / VLOOKUP("industry|SO2|Non-fatal heart attacks", US_national_yearly!$D:$AM, 10, FALSE), 1)</f>
        <v>2.4215490756598727E-3</v>
      </c>
      <c r="H13" s="7">
        <f>$B13 * IFERROR(VLOOKUP("industry|SO2|Non-fatal heart attacks", US_national_yearly!$D:$AM, 16, FALSE) / VLOOKUP("industry|SO2|Non-fatal heart attacks", US_national_yearly!$D:$AM, 10, FALSE), 1)</f>
        <v>2.480133545853871E-3</v>
      </c>
      <c r="I13" s="7">
        <f>$B13 * IFERROR(VLOOKUP("industry|SO2|Non-fatal heart attacks", US_national_yearly!$D:$AM, 17, FALSE) / VLOOKUP("industry|SO2|Non-fatal heart attacks", US_national_yearly!$D:$AM, 10, FALSE), 1)</f>
        <v>2.5273627694532754E-3</v>
      </c>
      <c r="J13" s="7">
        <f>$B13 * IFERROR(VLOOKUP("industry|SO2|Non-fatal heart attacks", US_national_yearly!$D:$AM, 18, FALSE) / VLOOKUP("industry|SO2|Non-fatal heart attacks", US_national_yearly!$D:$AM, 10, FALSE), 1)</f>
        <v>2.5745919930526811E-3</v>
      </c>
      <c r="K13" s="7">
        <f>$B13 * IFERROR(VLOOKUP("industry|SO2|Non-fatal heart attacks", US_national_yearly!$D:$AM, 19, FALSE) / VLOOKUP("industry|SO2|Non-fatal heart attacks", US_national_yearly!$D:$AM, 10, FALSE), 1)</f>
        <v>2.6218212166520859E-3</v>
      </c>
      <c r="L13" s="7">
        <f>$B13 * IFERROR(VLOOKUP("industry|SO2|Non-fatal heart attacks", US_national_yearly!$D:$AM, 20, FALSE) / VLOOKUP("industry|SO2|Non-fatal heart attacks", US_national_yearly!$D:$AM, 10, FALSE), 1)</f>
        <v>2.6690504402514911E-3</v>
      </c>
      <c r="M13" s="7">
        <f>$B13 * IFERROR(VLOOKUP("industry|SO2|Non-fatal heart attacks", US_national_yearly!$D:$AM, 21, FALSE) / VLOOKUP("industry|SO2|Non-fatal heart attacks", US_national_yearly!$D:$AM, 10, FALSE), 1)</f>
        <v>2.7162796638508964E-3</v>
      </c>
      <c r="N13" s="7">
        <f>$B13 * IFERROR(VLOOKUP("industry|SO2|Non-fatal heart attacks", US_national_yearly!$D:$AM, 22, FALSE) / VLOOKUP("industry|SO2|Non-fatal heart attacks", US_national_yearly!$D:$AM, 10, FALSE), 1)</f>
        <v>2.7469622836813847E-3</v>
      </c>
      <c r="O13" s="7">
        <f>$B13 * IFERROR(VLOOKUP("industry|SO2|Non-fatal heart attacks", US_national_yearly!$D:$AM, 23, FALSE) / VLOOKUP("industry|SO2|Non-fatal heart attacks", US_national_yearly!$D:$AM, 10, FALSE), 1)</f>
        <v>2.7776449035118744E-3</v>
      </c>
      <c r="P13" s="7">
        <f>$B13 * IFERROR(VLOOKUP("industry|SO2|Non-fatal heart attacks", US_national_yearly!$D:$AM, 24, FALSE) / VLOOKUP("industry|SO2|Non-fatal heart attacks", US_national_yearly!$D:$AM, 10, FALSE), 1)</f>
        <v>2.8083275233423632E-3</v>
      </c>
      <c r="Q13" s="7">
        <f>$B13 * IFERROR(VLOOKUP("industry|SO2|Non-fatal heart attacks", US_national_yearly!$D:$AM, 25, FALSE) / VLOOKUP("industry|SO2|Non-fatal heart attacks", US_national_yearly!$D:$AM, 10, FALSE), 1)</f>
        <v>2.8390101431728519E-3</v>
      </c>
      <c r="R13" s="7">
        <f>$B13 * IFERROR(VLOOKUP("industry|SO2|Non-fatal heart attacks", US_national_yearly!$D:$AM, 26, FALSE) / VLOOKUP("industry|SO2|Non-fatal heart attacks", US_national_yearly!$D:$AM, 10, FALSE), 1)</f>
        <v>2.8696927630033411E-3</v>
      </c>
      <c r="S13" s="7">
        <f>$B13 * IFERROR(VLOOKUP("industry|SO2|Non-fatal heart attacks", US_national_yearly!$D:$AM, 27, FALSE) / VLOOKUP("industry|SO2|Non-fatal heart attacks", US_national_yearly!$D:$AM, 10, FALSE), 1)</f>
        <v>2.8858077260638746E-3</v>
      </c>
      <c r="T13" s="7">
        <f>$B13 * IFERROR(VLOOKUP("industry|SO2|Non-fatal heart attacks", US_national_yearly!$D:$AM, 28, FALSE) / VLOOKUP("industry|SO2|Non-fatal heart attacks", US_national_yearly!$D:$AM, 10, FALSE), 1)</f>
        <v>2.9019226891244081E-3</v>
      </c>
      <c r="U13" s="7">
        <f>$B13 * IFERROR(VLOOKUP("industry|SO2|Non-fatal heart attacks", US_national_yearly!$D:$AM, 29, FALSE) / VLOOKUP("industry|SO2|Non-fatal heart attacks", US_national_yearly!$D:$AM, 10, FALSE), 1)</f>
        <v>2.9180376521849415E-3</v>
      </c>
      <c r="V13" s="7">
        <f>$B13 * IFERROR(VLOOKUP("industry|SO2|Non-fatal heart attacks", US_national_yearly!$D:$AM, 30, FALSE) / VLOOKUP("industry|SO2|Non-fatal heart attacks", US_national_yearly!$D:$AM, 10, FALSE), 1)</f>
        <v>2.934152615245475E-3</v>
      </c>
      <c r="W13" s="7">
        <f>$B13 * IFERROR(VLOOKUP("industry|SO2|Non-fatal heart attacks", US_national_yearly!$D:$AM, 31, FALSE) / VLOOKUP("industry|SO2|Non-fatal heart attacks", US_national_yearly!$D:$AM, 10, FALSE), 1)</f>
        <v>2.9502675783060085E-3</v>
      </c>
      <c r="X13" s="7">
        <f>$B13 * IFERROR(VLOOKUP("industry|SO2|Non-fatal heart attacks", US_national_yearly!$D:$AM, 32, FALSE) / VLOOKUP("industry|SO2|Non-fatal heart attacks", US_national_yearly!$D:$AM, 10, FALSE), 1)</f>
        <v>2.9625064277194147E-3</v>
      </c>
      <c r="Y13" s="7">
        <f>$B13 * IFERROR(VLOOKUP("industry|SO2|Non-fatal heart attacks", US_national_yearly!$D:$AM, 33, FALSE) / VLOOKUP("industry|SO2|Non-fatal heart attacks", US_national_yearly!$D:$AM, 10, FALSE), 1)</f>
        <v>2.974745277132821E-3</v>
      </c>
      <c r="Z13" s="7">
        <f>$B13 * IFERROR(VLOOKUP("industry|SO2|Non-fatal heart attacks", US_national_yearly!$D:$AM, 34, FALSE) / VLOOKUP("industry|SO2|Non-fatal heart attacks", US_national_yearly!$D:$AM, 10, FALSE), 1)</f>
        <v>2.9869841265462269E-3</v>
      </c>
      <c r="AA13" s="7">
        <f>$B13 * IFERROR(VLOOKUP("industry|SO2|Non-fatal heart attacks", US_national_yearly!$D:$AM, 35, FALSE) / VLOOKUP("industry|SO2|Non-fatal heart attacks", US_national_yearly!$D:$AM, 10, FALSE), 1)</f>
        <v>2.9992229759596336E-3</v>
      </c>
      <c r="AB13" s="7">
        <f>$B13 * IFERROR(VLOOKUP("industry|SO2|Non-fatal heart attacks", US_national_yearly!$D:$AM, 36, FALSE) / VLOOKUP("industry|SO2|Non-fatal heart attacks", US_national_yearly!$D:$AM, 10, FALSE), 1)</f>
        <v>3.0114618253730399E-3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1.7139647823138267</v>
      </c>
      <c r="C14" s="7">
        <f>$B14 * IFERROR(VLOOKUP("industry|SO2|Minor restricted activity days", US_national_yearly!$D:$AM, 11, FALSE) / VLOOKUP("industry|SO2|Minor restricted activity days", US_national_yearly!$D:$AM, 10, FALSE), 1)</f>
        <v>1.718252075045148</v>
      </c>
      <c r="D14" s="7">
        <f>$B14 * IFERROR(VLOOKUP("industry|SO2|Minor restricted activity days", US_national_yearly!$D:$AM, 12, FALSE) / VLOOKUP("industry|SO2|Minor restricted activity days", US_national_yearly!$D:$AM, 10, FALSE), 1)</f>
        <v>1.7225393677764689</v>
      </c>
      <c r="E14" s="7">
        <f>$B14 * IFERROR(VLOOKUP("industry|SO2|Minor restricted activity days", US_national_yearly!$D:$AM, 13, FALSE) / VLOOKUP("industry|SO2|Minor restricted activity days", US_national_yearly!$D:$AM, 10, FALSE), 1)</f>
        <v>1.7268266605077902</v>
      </c>
      <c r="F14" s="7">
        <f>$B14 * IFERROR(VLOOKUP("industry|SO2|Minor restricted activity days", US_national_yearly!$D:$AM, 14, FALSE) / VLOOKUP("industry|SO2|Minor restricted activity days", US_national_yearly!$D:$AM, 10, FALSE), 1)</f>
        <v>1.7311139532391115</v>
      </c>
      <c r="G14" s="7">
        <f>$B14 * IFERROR(VLOOKUP("industry|SO2|Minor restricted activity days", US_national_yearly!$D:$AM, 15, FALSE) / VLOOKUP("industry|SO2|Minor restricted activity days", US_national_yearly!$D:$AM, 10, FALSE), 1)</f>
        <v>1.7374209693713762</v>
      </c>
      <c r="H14" s="7">
        <f>$B14 * IFERROR(VLOOKUP("industry|SO2|Minor restricted activity days", US_national_yearly!$D:$AM, 16, FALSE) / VLOOKUP("industry|SO2|Minor restricted activity days", US_national_yearly!$D:$AM, 10, FALSE), 1)</f>
        <v>1.7437279855036407</v>
      </c>
      <c r="I14" s="7">
        <f>$B14 * IFERROR(VLOOKUP("industry|SO2|Minor restricted activity days", US_national_yearly!$D:$AM, 17, FALSE) / VLOOKUP("industry|SO2|Minor restricted activity days", US_national_yearly!$D:$AM, 10, FALSE), 1)</f>
        <v>1.7544833557376938</v>
      </c>
      <c r="J14" s="7">
        <f>$B14 * IFERROR(VLOOKUP("industry|SO2|Minor restricted activity days", US_national_yearly!$D:$AM, 18, FALSE) / VLOOKUP("industry|SO2|Minor restricted activity days", US_national_yearly!$D:$AM, 10, FALSE), 1)</f>
        <v>1.7652387259717466</v>
      </c>
      <c r="K14" s="7">
        <f>$B14 * IFERROR(VLOOKUP("industry|SO2|Minor restricted activity days", US_national_yearly!$D:$AM, 19, FALSE) / VLOOKUP("industry|SO2|Minor restricted activity days", US_national_yearly!$D:$AM, 10, FALSE), 1)</f>
        <v>1.7759940962057996</v>
      </c>
      <c r="L14" s="7">
        <f>$B14 * IFERROR(VLOOKUP("industry|SO2|Minor restricted activity days", US_national_yearly!$D:$AM, 20, FALSE) / VLOOKUP("industry|SO2|Minor restricted activity days", US_national_yearly!$D:$AM, 10, FALSE), 1)</f>
        <v>1.7867494664398524</v>
      </c>
      <c r="M14" s="7">
        <f>$B14 * IFERROR(VLOOKUP("industry|SO2|Minor restricted activity days", US_national_yearly!$D:$AM, 21, FALSE) / VLOOKUP("industry|SO2|Minor restricted activity days", US_national_yearly!$D:$AM, 10, FALSE), 1)</f>
        <v>1.7975048366739055</v>
      </c>
      <c r="N14" s="7">
        <f>$B14 * IFERROR(VLOOKUP("industry|SO2|Minor restricted activity days", US_national_yearly!$D:$AM, 22, FALSE) / VLOOKUP("industry|SO2|Minor restricted activity days", US_national_yearly!$D:$AM, 10, FALSE), 1)</f>
        <v>1.8122517427832521</v>
      </c>
      <c r="O14" s="7">
        <f>$B14 * IFERROR(VLOOKUP("industry|SO2|Minor restricted activity days", US_national_yearly!$D:$AM, 23, FALSE) / VLOOKUP("industry|SO2|Minor restricted activity days", US_national_yearly!$D:$AM, 10, FALSE), 1)</f>
        <v>1.8269986488925987</v>
      </c>
      <c r="P14" s="7">
        <f>$B14 * IFERROR(VLOOKUP("industry|SO2|Minor restricted activity days", US_national_yearly!$D:$AM, 24, FALSE) / VLOOKUP("industry|SO2|Minor restricted activity days", US_national_yearly!$D:$AM, 10, FALSE), 1)</f>
        <v>1.8417455550019453</v>
      </c>
      <c r="Q14" s="7">
        <f>$B14 * IFERROR(VLOOKUP("industry|SO2|Minor restricted activity days", US_national_yearly!$D:$AM, 25, FALSE) / VLOOKUP("industry|SO2|Minor restricted activity days", US_national_yearly!$D:$AM, 10, FALSE), 1)</f>
        <v>1.8564924611112923</v>
      </c>
      <c r="R14" s="7">
        <f>$B14 * IFERROR(VLOOKUP("industry|SO2|Minor restricted activity days", US_national_yearly!$D:$AM, 26, FALSE) / VLOOKUP("industry|SO2|Minor restricted activity days", US_national_yearly!$D:$AM, 10, FALSE), 1)</f>
        <v>1.8712393672206389</v>
      </c>
      <c r="S14" s="7">
        <f>$B14 * IFERROR(VLOOKUP("industry|SO2|Minor restricted activity days", US_national_yearly!$D:$AM, 27, FALSE) / VLOOKUP("industry|SO2|Minor restricted activity days", US_national_yearly!$D:$AM, 10, FALSE), 1)</f>
        <v>1.8862897758946231</v>
      </c>
      <c r="T14" s="7">
        <f>$B14 * IFERROR(VLOOKUP("industry|SO2|Minor restricted activity days", US_national_yearly!$D:$AM, 28, FALSE) / VLOOKUP("industry|SO2|Minor restricted activity days", US_national_yearly!$D:$AM, 10, FALSE), 1)</f>
        <v>1.901340184568608</v>
      </c>
      <c r="U14" s="7">
        <f>$B14 * IFERROR(VLOOKUP("industry|SO2|Minor restricted activity days", US_national_yearly!$D:$AM, 29, FALSE) / VLOOKUP("industry|SO2|Minor restricted activity days", US_national_yearly!$D:$AM, 10, FALSE), 1)</f>
        <v>1.9163905932425922</v>
      </c>
      <c r="V14" s="7">
        <f>$B14 * IFERROR(VLOOKUP("industry|SO2|Minor restricted activity days", US_national_yearly!$D:$AM, 30, FALSE) / VLOOKUP("industry|SO2|Minor restricted activity days", US_national_yearly!$D:$AM, 10, FALSE), 1)</f>
        <v>1.9314410019165769</v>
      </c>
      <c r="W14" s="7">
        <f>$B14 * IFERROR(VLOOKUP("industry|SO2|Minor restricted activity days", US_national_yearly!$D:$AM, 31, FALSE) / VLOOKUP("industry|SO2|Minor restricted activity days", US_national_yearly!$D:$AM, 10, FALSE), 1)</f>
        <v>1.9464914105905613</v>
      </c>
      <c r="X14" s="7">
        <f>$B14 * IFERROR(VLOOKUP("industry|SO2|Minor restricted activity days", US_national_yearly!$D:$AM, 32, FALSE) / VLOOKUP("industry|SO2|Minor restricted activity days", US_national_yearly!$D:$AM, 10, FALSE), 1)</f>
        <v>1.9597251161511475</v>
      </c>
      <c r="Y14" s="7">
        <f>$B14 * IFERROR(VLOOKUP("industry|SO2|Minor restricted activity days", US_national_yearly!$D:$AM, 33, FALSE) / VLOOKUP("industry|SO2|Minor restricted activity days", US_national_yearly!$D:$AM, 10, FALSE), 1)</f>
        <v>1.9729588217117335</v>
      </c>
      <c r="Z14" s="7">
        <f>$B14 * IFERROR(VLOOKUP("industry|SO2|Minor restricted activity days", US_national_yearly!$D:$AM, 34, FALSE) / VLOOKUP("industry|SO2|Minor restricted activity days", US_national_yearly!$D:$AM, 10, FALSE), 1)</f>
        <v>1.9861925272723193</v>
      </c>
      <c r="AA14" s="7">
        <f>$B14 * IFERROR(VLOOKUP("industry|SO2|Minor restricted activity days", US_national_yearly!$D:$AM, 35, FALSE) / VLOOKUP("industry|SO2|Minor restricted activity days", US_national_yearly!$D:$AM, 10, FALSE), 1)</f>
        <v>1.9994262328329053</v>
      </c>
      <c r="AB14" s="7">
        <f>$B14 * IFERROR(VLOOKUP("industry|SO2|Minor restricted activity days", US_national_yearly!$D:$AM, 36, FALSE) / VLOOKUP("industry|SO2|Minor restricted activity days", US_national_yearly!$D:$AM, 10, FALSE), 1)</f>
        <v>2.0126599383934916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0.29170929161473097</v>
      </c>
      <c r="C15" s="7">
        <f>$B15 * IFERROR(VLOOKUP("industry|SO2|Work loss days", US_national_yearly!$D:$AM, 11, FALSE) / VLOOKUP("industry|SO2|Work loss days", US_national_yearly!$D:$AM, 10, FALSE), 1)</f>
        <v>0.29264739574016102</v>
      </c>
      <c r="D15" s="7">
        <f>$B15 * IFERROR(VLOOKUP("industry|SO2|Work loss days", US_national_yearly!$D:$AM, 12, FALSE) / VLOOKUP("industry|SO2|Work loss days", US_national_yearly!$D:$AM, 10, FALSE), 1)</f>
        <v>0.29358549986559124</v>
      </c>
      <c r="E15" s="7">
        <f>$B15 * IFERROR(VLOOKUP("industry|SO2|Work loss days", US_national_yearly!$D:$AM, 13, FALSE) / VLOOKUP("industry|SO2|Work loss days", US_national_yearly!$D:$AM, 10, FALSE), 1)</f>
        <v>0.29452360399102129</v>
      </c>
      <c r="F15" s="7">
        <f>$B15 * IFERROR(VLOOKUP("industry|SO2|Work loss days", US_national_yearly!$D:$AM, 14, FALSE) / VLOOKUP("industry|SO2|Work loss days", US_national_yearly!$D:$AM, 10, FALSE), 1)</f>
        <v>0.2954617081164515</v>
      </c>
      <c r="G15" s="7">
        <f>$B15 * IFERROR(VLOOKUP("industry|SO2|Work loss days", US_national_yearly!$D:$AM, 15, FALSE) / VLOOKUP("industry|SO2|Work loss days", US_national_yearly!$D:$AM, 10, FALSE), 1)</f>
        <v>0.29668618751171638</v>
      </c>
      <c r="H15" s="7">
        <f>$B15 * IFERROR(VLOOKUP("industry|SO2|Work loss days", US_national_yearly!$D:$AM, 16, FALSE) / VLOOKUP("industry|SO2|Work loss days", US_national_yearly!$D:$AM, 10, FALSE), 1)</f>
        <v>0.29791066690698131</v>
      </c>
      <c r="I15" s="7">
        <f>$B15 * IFERROR(VLOOKUP("industry|SO2|Work loss days", US_national_yearly!$D:$AM, 17, FALSE) / VLOOKUP("industry|SO2|Work loss days", US_national_yearly!$D:$AM, 10, FALSE), 1)</f>
        <v>0.29970051074186799</v>
      </c>
      <c r="J15" s="7">
        <f>$B15 * IFERROR(VLOOKUP("industry|SO2|Work loss days", US_national_yearly!$D:$AM, 18, FALSE) / VLOOKUP("industry|SO2|Work loss days", US_national_yearly!$D:$AM, 10, FALSE), 1)</f>
        <v>0.3014903545767546</v>
      </c>
      <c r="K15" s="7">
        <f>$B15 * IFERROR(VLOOKUP("industry|SO2|Work loss days", US_national_yearly!$D:$AM, 19, FALSE) / VLOOKUP("industry|SO2|Work loss days", US_national_yearly!$D:$AM, 10, FALSE), 1)</f>
        <v>0.30328019841164122</v>
      </c>
      <c r="L15" s="7">
        <f>$B15 * IFERROR(VLOOKUP("industry|SO2|Work loss days", US_national_yearly!$D:$AM, 20, FALSE) / VLOOKUP("industry|SO2|Work loss days", US_national_yearly!$D:$AM, 10, FALSE), 1)</f>
        <v>0.30507004224652789</v>
      </c>
      <c r="M15" s="7">
        <f>$B15 * IFERROR(VLOOKUP("industry|SO2|Work loss days", US_national_yearly!$D:$AM, 21, FALSE) / VLOOKUP("industry|SO2|Work loss days", US_national_yearly!$D:$AM, 10, FALSE), 1)</f>
        <v>0.30685988608141451</v>
      </c>
      <c r="N15" s="7">
        <f>$B15 * IFERROR(VLOOKUP("industry|SO2|Work loss days", US_national_yearly!$D:$AM, 22, FALSE) / VLOOKUP("industry|SO2|Work loss days", US_national_yearly!$D:$AM, 10, FALSE), 1)</f>
        <v>0.30910945628225212</v>
      </c>
      <c r="O15" s="7">
        <f>$B15 * IFERROR(VLOOKUP("industry|SO2|Work loss days", US_national_yearly!$D:$AM, 23, FALSE) / VLOOKUP("industry|SO2|Work loss days", US_national_yearly!$D:$AM, 10, FALSE), 1)</f>
        <v>0.31135902648308972</v>
      </c>
      <c r="P15" s="7">
        <f>$B15 * IFERROR(VLOOKUP("industry|SO2|Work loss days", US_national_yearly!$D:$AM, 24, FALSE) / VLOOKUP("industry|SO2|Work loss days", US_national_yearly!$D:$AM, 10, FALSE), 1)</f>
        <v>0.31360859668392732</v>
      </c>
      <c r="Q15" s="7">
        <f>$B15 * IFERROR(VLOOKUP("industry|SO2|Work loss days", US_national_yearly!$D:$AM, 25, FALSE) / VLOOKUP("industry|SO2|Work loss days", US_national_yearly!$D:$AM, 10, FALSE), 1)</f>
        <v>0.31585816688476492</v>
      </c>
      <c r="R15" s="7">
        <f>$B15 * IFERROR(VLOOKUP("industry|SO2|Work loss days", US_national_yearly!$D:$AM, 26, FALSE) / VLOOKUP("industry|SO2|Work loss days", US_national_yearly!$D:$AM, 10, FALSE), 1)</f>
        <v>0.31810773708560253</v>
      </c>
      <c r="S15" s="7">
        <f>$B15 * IFERROR(VLOOKUP("industry|SO2|Work loss days", US_national_yearly!$D:$AM, 27, FALSE) / VLOOKUP("industry|SO2|Work loss days", US_national_yearly!$D:$AM, 10, FALSE), 1)</f>
        <v>0.32062491342965899</v>
      </c>
      <c r="T15" s="7">
        <f>$B15 * IFERROR(VLOOKUP("industry|SO2|Work loss days", US_national_yearly!$D:$AM, 28, FALSE) / VLOOKUP("industry|SO2|Work loss days", US_national_yearly!$D:$AM, 10, FALSE), 1)</f>
        <v>0.3231420897737155</v>
      </c>
      <c r="U15" s="7">
        <f>$B15 * IFERROR(VLOOKUP("industry|SO2|Work loss days", US_national_yearly!$D:$AM, 29, FALSE) / VLOOKUP("industry|SO2|Work loss days", US_national_yearly!$D:$AM, 10, FALSE), 1)</f>
        <v>0.32565926611777213</v>
      </c>
      <c r="V15" s="7">
        <f>$B15 * IFERROR(VLOOKUP("industry|SO2|Work loss days", US_national_yearly!$D:$AM, 30, FALSE) / VLOOKUP("industry|SO2|Work loss days", US_national_yearly!$D:$AM, 10, FALSE), 1)</f>
        <v>0.32817644246182859</v>
      </c>
      <c r="W15" s="7">
        <f>$B15 * IFERROR(VLOOKUP("industry|SO2|Work loss days", US_national_yearly!$D:$AM, 31, FALSE) / VLOOKUP("industry|SO2|Work loss days", US_national_yearly!$D:$AM, 10, FALSE), 1)</f>
        <v>0.3306936188058851</v>
      </c>
      <c r="X15" s="7">
        <f>$B15 * IFERROR(VLOOKUP("industry|SO2|Work loss days", US_national_yearly!$D:$AM, 32, FALSE) / VLOOKUP("industry|SO2|Work loss days", US_national_yearly!$D:$AM, 10, FALSE), 1)</f>
        <v>0.33295447836666603</v>
      </c>
      <c r="Y15" s="7">
        <f>$B15 * IFERROR(VLOOKUP("industry|SO2|Work loss days", US_national_yearly!$D:$AM, 33, FALSE) / VLOOKUP("industry|SO2|Work loss days", US_national_yearly!$D:$AM, 10, FALSE), 1)</f>
        <v>0.33521533792744707</v>
      </c>
      <c r="Z15" s="7">
        <f>$B15 * IFERROR(VLOOKUP("industry|SO2|Work loss days", US_national_yearly!$D:$AM, 34, FALSE) / VLOOKUP("industry|SO2|Work loss days", US_national_yearly!$D:$AM, 10, FALSE), 1)</f>
        <v>0.33747619748822794</v>
      </c>
      <c r="AA15" s="7">
        <f>$B15 * IFERROR(VLOOKUP("industry|SO2|Work loss days", US_national_yearly!$D:$AM, 35, FALSE) / VLOOKUP("industry|SO2|Work loss days", US_national_yearly!$D:$AM, 10, FALSE), 1)</f>
        <v>0.33973705704900897</v>
      </c>
      <c r="AB15" s="7">
        <f>$B15 * IFERROR(VLOOKUP("industry|SO2|Work loss days", US_national_yearly!$D:$AM, 36, FALSE) / VLOOKUP("industry|SO2|Work loss days", US_national_yearly!$D:$AM, 10, FALSE), 1)</f>
        <v>0.3419979166097899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5.1058629008394465E-4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5.2602498807535487E-4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5.4146368606676509E-4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5.5690238405817541E-4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5.7234108204958574E-4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5.8713692332316612E-4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6.0193276459674649E-4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6.1462811450847983E-4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6.2732346442021317E-4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6.4001881433194661E-4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6.5271416424367995E-4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6.6540951415541328E-4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6.7393893840026896E-4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6.8246836264512464E-4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6.909977868899802E-4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6.9952721113483588E-4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7.0805663537969155E-4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7.1256666424816502E-4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7.1707669311663871E-4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7.2158672198511218E-4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7.2609675085358587E-4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7.3060677972205934E-4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7.3365675501409851E-4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7.3670673030613756E-4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7.3975670559817683E-4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7.42806680890216E-4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7.4585665618225494E-4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1.0115354655992389E-3</v>
      </c>
      <c r="C2" s="7">
        <f>$B2 * IFERROR(VLOOKUP("LULUCF|PM25|Premature mortality", US_national_yearly!$D:$AM, 11, FALSE) / VLOOKUP("LULUCF|PM25|Premature mortality", US_national_yearly!$D:$AM, 10, FALSE), 1)</f>
        <v>1.0240762886067226E-3</v>
      </c>
      <c r="D2" s="7">
        <f>$B2 * IFERROR(VLOOKUP("LULUCF|PM25|Premature mortality", US_national_yearly!$D:$AM, 12, FALSE) / VLOOKUP("LULUCF|PM25|Premature mortality", US_national_yearly!$D:$AM, 10, FALSE), 1)</f>
        <v>1.036617111614206E-3</v>
      </c>
      <c r="E2" s="7">
        <f>$B2 * IFERROR(VLOOKUP("LULUCF|PM25|Premature mortality", US_national_yearly!$D:$AM, 13, FALSE) / VLOOKUP("LULUCF|PM25|Premature mortality", US_national_yearly!$D:$AM, 10, FALSE), 1)</f>
        <v>1.0491579346216897E-3</v>
      </c>
      <c r="F2" s="7">
        <f>$B2 * IFERROR(VLOOKUP("LULUCF|PM25|Premature mortality", US_national_yearly!$D:$AM, 14, FALSE) / VLOOKUP("LULUCF|PM25|Premature mortality", US_national_yearly!$D:$AM, 10, FALSE), 1)</f>
        <v>1.0616987576291732E-3</v>
      </c>
      <c r="G2" s="7">
        <f>$B2 * IFERROR(VLOOKUP("LULUCF|PM25|Premature mortality", US_national_yearly!$D:$AM, 15, FALSE) / VLOOKUP("LULUCF|PM25|Premature mortality", US_national_yearly!$D:$AM, 10, FALSE), 1)</f>
        <v>1.086121915855599E-3</v>
      </c>
      <c r="H2" s="7">
        <f>$B2 * IFERROR(VLOOKUP("LULUCF|PM25|Premature mortality", US_national_yearly!$D:$AM, 16, FALSE) / VLOOKUP("LULUCF|PM25|Premature mortality", US_national_yearly!$D:$AM, 10, FALSE), 1)</f>
        <v>1.1105450740820251E-3</v>
      </c>
      <c r="I2" s="7">
        <f>$B2 * IFERROR(VLOOKUP("LULUCF|PM25|Premature mortality", US_national_yearly!$D:$AM, 17, FALSE) / VLOOKUP("LULUCF|PM25|Premature mortality", US_national_yearly!$D:$AM, 10, FALSE), 1)</f>
        <v>1.126587232501295E-3</v>
      </c>
      <c r="J2" s="7">
        <f>$B2 * IFERROR(VLOOKUP("LULUCF|PM25|Premature mortality", US_national_yearly!$D:$AM, 18, FALSE) / VLOOKUP("LULUCF|PM25|Premature mortality", US_national_yearly!$D:$AM, 10, FALSE), 1)</f>
        <v>1.1426293909205653E-3</v>
      </c>
      <c r="K2" s="7">
        <f>$B2 * IFERROR(VLOOKUP("LULUCF|PM25|Premature mortality", US_national_yearly!$D:$AM, 19, FALSE) / VLOOKUP("LULUCF|PM25|Premature mortality", US_national_yearly!$D:$AM, 10, FALSE), 1)</f>
        <v>1.1586715493398353E-3</v>
      </c>
      <c r="L2" s="7">
        <f>$B2 * IFERROR(VLOOKUP("LULUCF|PM25|Premature mortality", US_national_yearly!$D:$AM, 20, FALSE) / VLOOKUP("LULUCF|PM25|Premature mortality", US_national_yearly!$D:$AM, 10, FALSE), 1)</f>
        <v>1.1747137077591054E-3</v>
      </c>
      <c r="M2" s="7">
        <f>$B2 * IFERROR(VLOOKUP("LULUCF|PM25|Premature mortality", US_national_yearly!$D:$AM, 21, FALSE) / VLOOKUP("LULUCF|PM25|Premature mortality", US_national_yearly!$D:$AM, 10, FALSE), 1)</f>
        <v>1.1907558661783755E-3</v>
      </c>
      <c r="N2" s="7">
        <f>$B2 * IFERROR(VLOOKUP("LULUCF|PM25|Premature mortality", US_national_yearly!$D:$AM, 22, FALSE) / VLOOKUP("LULUCF|PM25|Premature mortality", US_national_yearly!$D:$AM, 10, FALSE), 1)</f>
        <v>1.2032115812031761E-3</v>
      </c>
      <c r="O2" s="7">
        <f>$B2 * IFERROR(VLOOKUP("LULUCF|PM25|Premature mortality", US_national_yearly!$D:$AM, 23, FALSE) / VLOOKUP("LULUCF|PM25|Premature mortality", US_national_yearly!$D:$AM, 10, FALSE), 1)</f>
        <v>1.2156672962279765E-3</v>
      </c>
      <c r="P2" s="7">
        <f>$B2 * IFERROR(VLOOKUP("LULUCF|PM25|Premature mortality", US_national_yearly!$D:$AM, 24, FALSE) / VLOOKUP("LULUCF|PM25|Premature mortality", US_national_yearly!$D:$AM, 10, FALSE), 1)</f>
        <v>1.2281230112527772E-3</v>
      </c>
      <c r="Q2" s="7">
        <f>$B2 * IFERROR(VLOOKUP("LULUCF|PM25|Premature mortality", US_national_yearly!$D:$AM, 25, FALSE) / VLOOKUP("LULUCF|PM25|Premature mortality", US_national_yearly!$D:$AM, 10, FALSE), 1)</f>
        <v>1.2405787262775778E-3</v>
      </c>
      <c r="R2" s="7">
        <f>$B2 * IFERROR(VLOOKUP("LULUCF|PM25|Premature mortality", US_national_yearly!$D:$AM, 26, FALSE) / VLOOKUP("LULUCF|PM25|Premature mortality", US_national_yearly!$D:$AM, 10, FALSE), 1)</f>
        <v>1.2530344413023784E-3</v>
      </c>
      <c r="S2" s="7">
        <f>$B2 * IFERROR(VLOOKUP("LULUCF|PM25|Premature mortality", US_national_yearly!$D:$AM, 27, FALSE) / VLOOKUP("LULUCF|PM25|Premature mortality", US_national_yearly!$D:$AM, 10, FALSE), 1)</f>
        <v>1.2596331090508899E-3</v>
      </c>
      <c r="T2" s="7">
        <f>$B2 * IFERROR(VLOOKUP("LULUCF|PM25|Premature mortality", US_national_yearly!$D:$AM, 28, FALSE) / VLOOKUP("LULUCF|PM25|Premature mortality", US_national_yearly!$D:$AM, 10, FALSE), 1)</f>
        <v>1.2662317767994009E-3</v>
      </c>
      <c r="U2" s="7">
        <f>$B2 * IFERROR(VLOOKUP("LULUCF|PM25|Premature mortality", US_national_yearly!$D:$AM, 29, FALSE) / VLOOKUP("LULUCF|PM25|Premature mortality", US_national_yearly!$D:$AM, 10, FALSE), 1)</f>
        <v>1.2728304445479119E-3</v>
      </c>
      <c r="V2" s="7">
        <f>$B2 * IFERROR(VLOOKUP("LULUCF|PM25|Premature mortality", US_national_yearly!$D:$AM, 30, FALSE) / VLOOKUP("LULUCF|PM25|Premature mortality", US_national_yearly!$D:$AM, 10, FALSE), 1)</f>
        <v>1.2794291122964229E-3</v>
      </c>
      <c r="W2" s="7">
        <f>$B2 * IFERROR(VLOOKUP("LULUCF|PM25|Premature mortality", US_national_yearly!$D:$AM, 31, FALSE) / VLOOKUP("LULUCF|PM25|Premature mortality", US_national_yearly!$D:$AM, 10, FALSE), 1)</f>
        <v>1.2860277800449339E-3</v>
      </c>
      <c r="X2" s="7">
        <f>$B2 * IFERROR(VLOOKUP("LULUCF|PM25|Premature mortality", US_national_yearly!$D:$AM, 32, FALSE) / VLOOKUP("LULUCF|PM25|Premature mortality", US_national_yearly!$D:$AM, 10, FALSE), 1)</f>
        <v>1.2871816081449921E-3</v>
      </c>
      <c r="Y2" s="7">
        <f>$B2 * IFERROR(VLOOKUP("LULUCF|PM25|Premature mortality", US_national_yearly!$D:$AM, 33, FALSE) / VLOOKUP("LULUCF|PM25|Premature mortality", US_national_yearly!$D:$AM, 10, FALSE), 1)</f>
        <v>1.2883354362450505E-3</v>
      </c>
      <c r="Z2" s="7">
        <f>$B2 * IFERROR(VLOOKUP("LULUCF|PM25|Premature mortality", US_national_yearly!$D:$AM, 34, FALSE) / VLOOKUP("LULUCF|PM25|Premature mortality", US_national_yearly!$D:$AM, 10, FALSE), 1)</f>
        <v>1.2894892643451087E-3</v>
      </c>
      <c r="AA2" s="7">
        <f>$B2 * IFERROR(VLOOKUP("LULUCF|PM25|Premature mortality", US_national_yearly!$D:$AM, 35, FALSE) / VLOOKUP("LULUCF|PM25|Premature mortality", US_national_yearly!$D:$AM, 10, FALSE), 1)</f>
        <v>1.2906430924451674E-3</v>
      </c>
      <c r="AB2" s="7">
        <f>$B2 * IFERROR(VLOOKUP("LULUCF|PM25|Premature mortality", US_national_yearly!$D:$AM, 36, FALSE) / VLOOKUP("LULUCF|PM25|Premature mortality", US_national_yearly!$D:$AM, 10, FALSE), 1)</f>
        <v>1.2917969205452256E-3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2.045069368979649E-6</v>
      </c>
      <c r="C3" s="7">
        <f>$B3 * IFERROR(VLOOKUP("LULUCF|PM25|Infant mortality", US_national_yearly!$D:$AM, 11, FALSE) / VLOOKUP("LULUCF|PM25|Infant mortality", US_national_yearly!$D:$AM, 10, FALSE), 1)</f>
        <v>2.0272382302212474E-6</v>
      </c>
      <c r="D3" s="7">
        <f>$B3 * IFERROR(VLOOKUP("LULUCF|PM25|Infant mortality", US_national_yearly!$D:$AM, 12, FALSE) / VLOOKUP("LULUCF|PM25|Infant mortality", US_national_yearly!$D:$AM, 10, FALSE), 1)</f>
        <v>2.0094070914628452E-6</v>
      </c>
      <c r="E3" s="7">
        <f>$B3 * IFERROR(VLOOKUP("LULUCF|PM25|Infant mortality", US_national_yearly!$D:$AM, 13, FALSE) / VLOOKUP("LULUCF|PM25|Infant mortality", US_national_yearly!$D:$AM, 10, FALSE), 1)</f>
        <v>1.9915759527044431E-6</v>
      </c>
      <c r="F3" s="7">
        <f>$B3 * IFERROR(VLOOKUP("LULUCF|PM25|Infant mortality", US_national_yearly!$D:$AM, 14, FALSE) / VLOOKUP("LULUCF|PM25|Infant mortality", US_national_yearly!$D:$AM, 10, FALSE), 1)</f>
        <v>1.973744813946041E-6</v>
      </c>
      <c r="G3" s="7">
        <f>$B3 * IFERROR(VLOOKUP("LULUCF|PM25|Infant mortality", US_national_yearly!$D:$AM, 15, FALSE) / VLOOKUP("LULUCF|PM25|Infant mortality", US_national_yearly!$D:$AM, 10, FALSE), 1)</f>
        <v>1.3126458807450258E-6</v>
      </c>
      <c r="H3" s="7">
        <f>$B3 * IFERROR(VLOOKUP("LULUCF|PM25|Infant mortality", US_national_yearly!$D:$AM, 16, FALSE) / VLOOKUP("LULUCF|PM25|Infant mortality", US_national_yearly!$D:$AM, 10, FALSE), 1)</f>
        <v>6.5154694754401016E-7</v>
      </c>
      <c r="I3" s="7">
        <f>$B3 * IFERROR(VLOOKUP("LULUCF|PM25|Infant mortality", US_national_yearly!$D:$AM, 17, FALSE) / VLOOKUP("LULUCF|PM25|Infant mortality", US_national_yearly!$D:$AM, 10, FALSE), 1)</f>
        <v>6.4728801198223365E-7</v>
      </c>
      <c r="J3" s="7">
        <f>$B3 * IFERROR(VLOOKUP("LULUCF|PM25|Infant mortality", US_national_yearly!$D:$AM, 18, FALSE) / VLOOKUP("LULUCF|PM25|Infant mortality", US_national_yearly!$D:$AM, 10, FALSE), 1)</f>
        <v>6.4302907642045704E-7</v>
      </c>
      <c r="K3" s="7">
        <f>$B3 * IFERROR(VLOOKUP("LULUCF|PM25|Infant mortality", US_national_yearly!$D:$AM, 19, FALSE) / VLOOKUP("LULUCF|PM25|Infant mortality", US_national_yearly!$D:$AM, 10, FALSE), 1)</f>
        <v>6.3877014085868031E-7</v>
      </c>
      <c r="L3" s="7">
        <f>$B3 * IFERROR(VLOOKUP("LULUCF|PM25|Infant mortality", US_national_yearly!$D:$AM, 20, FALSE) / VLOOKUP("LULUCF|PM25|Infant mortality", US_national_yearly!$D:$AM, 10, FALSE), 1)</f>
        <v>6.345112052969038E-7</v>
      </c>
      <c r="M3" s="7">
        <f>$B3 * IFERROR(VLOOKUP("LULUCF|PM25|Infant mortality", US_national_yearly!$D:$AM, 21, FALSE) / VLOOKUP("LULUCF|PM25|Infant mortality", US_national_yearly!$D:$AM, 10, FALSE), 1)</f>
        <v>6.3025226973512729E-7</v>
      </c>
      <c r="N3" s="7">
        <f>$B3 * IFERROR(VLOOKUP("LULUCF|PM25|Infant mortality", US_national_yearly!$D:$AM, 22, FALSE) / VLOOKUP("LULUCF|PM25|Infant mortality", US_national_yearly!$D:$AM, 10, FALSE), 1)</f>
        <v>6.2757718669211504E-7</v>
      </c>
      <c r="O3" s="7">
        <f>$B3 * IFERROR(VLOOKUP("LULUCF|PM25|Infant mortality", US_national_yearly!$D:$AM, 23, FALSE) / VLOOKUP("LULUCF|PM25|Infant mortality", US_national_yearly!$D:$AM, 10, FALSE), 1)</f>
        <v>6.24902103649103E-7</v>
      </c>
      <c r="P3" s="7">
        <f>$B3 * IFERROR(VLOOKUP("LULUCF|PM25|Infant mortality", US_national_yearly!$D:$AM, 24, FALSE) / VLOOKUP("LULUCF|PM25|Infant mortality", US_national_yearly!$D:$AM, 10, FALSE), 1)</f>
        <v>6.2222702060609064E-7</v>
      </c>
      <c r="Q3" s="7">
        <f>$B3 * IFERROR(VLOOKUP("LULUCF|PM25|Infant mortality", US_national_yearly!$D:$AM, 25, FALSE) / VLOOKUP("LULUCF|PM25|Infant mortality", US_national_yearly!$D:$AM, 10, FALSE), 1)</f>
        <v>6.195519375630786E-7</v>
      </c>
      <c r="R3" s="7">
        <f>$B3 * IFERROR(VLOOKUP("LULUCF|PM25|Infant mortality", US_national_yearly!$D:$AM, 26, FALSE) / VLOOKUP("LULUCF|PM25|Infant mortality", US_national_yearly!$D:$AM, 10, FALSE), 1)</f>
        <v>6.1687685452006634E-7</v>
      </c>
      <c r="S3" s="7">
        <f>$B3 * IFERROR(VLOOKUP("LULUCF|PM25|Infant mortality", US_national_yearly!$D:$AM, 27, FALSE) / VLOOKUP("LULUCF|PM25|Infant mortality", US_national_yearly!$D:$AM, 10, FALSE), 1)</f>
        <v>6.1354230881060236E-7</v>
      </c>
      <c r="T3" s="7">
        <f>$B3 * IFERROR(VLOOKUP("LULUCF|PM25|Infant mortality", US_national_yearly!$D:$AM, 28, FALSE) / VLOOKUP("LULUCF|PM25|Infant mortality", US_national_yearly!$D:$AM, 10, FALSE), 1)</f>
        <v>6.1020776310113827E-7</v>
      </c>
      <c r="U3" s="7">
        <f>$B3 * IFERROR(VLOOKUP("LULUCF|PM25|Infant mortality", US_national_yearly!$D:$AM, 29, FALSE) / VLOOKUP("LULUCF|PM25|Infant mortality", US_national_yearly!$D:$AM, 10, FALSE), 1)</f>
        <v>6.0687321739167439E-7</v>
      </c>
      <c r="V3" s="7">
        <f>$B3 * IFERROR(VLOOKUP("LULUCF|PM25|Infant mortality", US_national_yearly!$D:$AM, 30, FALSE) / VLOOKUP("LULUCF|PM25|Infant mortality", US_national_yearly!$D:$AM, 10, FALSE), 1)</f>
        <v>6.0353867168221041E-7</v>
      </c>
      <c r="W3" s="7">
        <f>$B3 * IFERROR(VLOOKUP("LULUCF|PM25|Infant mortality", US_national_yearly!$D:$AM, 31, FALSE) / VLOOKUP("LULUCF|PM25|Infant mortality", US_national_yearly!$D:$AM, 10, FALSE), 1)</f>
        <v>6.0020412597274632E-7</v>
      </c>
      <c r="X3" s="7">
        <f>$B3 * IFERROR(VLOOKUP("LULUCF|PM25|Infant mortality", US_national_yearly!$D:$AM, 32, FALSE) / VLOOKUP("LULUCF|PM25|Infant mortality", US_national_yearly!$D:$AM, 10, FALSE), 1)</f>
        <v>5.9660906658951798E-7</v>
      </c>
      <c r="Y3" s="7">
        <f>$B3 * IFERROR(VLOOKUP("LULUCF|PM25|Infant mortality", US_national_yearly!$D:$AM, 33, FALSE) / VLOOKUP("LULUCF|PM25|Infant mortality", US_national_yearly!$D:$AM, 10, FALSE), 1)</f>
        <v>5.9301400720628944E-7</v>
      </c>
      <c r="Z3" s="7">
        <f>$B3 * IFERROR(VLOOKUP("LULUCF|PM25|Infant mortality", US_national_yearly!$D:$AM, 34, FALSE) / VLOOKUP("LULUCF|PM25|Infant mortality", US_national_yearly!$D:$AM, 10, FALSE), 1)</f>
        <v>5.8941894782306111E-7</v>
      </c>
      <c r="AA3" s="7">
        <f>$B3 * IFERROR(VLOOKUP("LULUCF|PM25|Infant mortality", US_national_yearly!$D:$AM, 35, FALSE) / VLOOKUP("LULUCF|PM25|Infant mortality", US_national_yearly!$D:$AM, 10, FALSE), 1)</f>
        <v>5.8582388843983267E-7</v>
      </c>
      <c r="AB3" s="7">
        <f>$B3 * IFERROR(VLOOKUP("LULUCF|PM25|Infant mortality", US_national_yearly!$D:$AM, 36, FALSE) / VLOOKUP("LULUCF|PM25|Infant mortality", US_national_yearly!$D:$AM, 10, FALSE), 1)</f>
        <v>5.8222882905660444E-7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2.6061258444251985E-3</v>
      </c>
      <c r="C6" s="7">
        <f>$B6 * IFERROR(VLOOKUP("LULUCF|PM25|Asthma symptoms cough", US_national_yearly!$D:$AM, 11, FALSE) / VLOOKUP("LULUCF|PM25|Asthma symptoms cough", US_national_yearly!$D:$AM, 10, FALSE), 1)</f>
        <v>2.6061258444251985E-3</v>
      </c>
      <c r="D6" s="7">
        <f>$B6 * IFERROR(VLOOKUP("LULUCF|PM25|Asthma symptoms cough", US_national_yearly!$D:$AM, 12, FALSE) / VLOOKUP("LULUCF|PM25|Asthma symptoms cough", US_national_yearly!$D:$AM, 10, FALSE), 1)</f>
        <v>2.6061258444251985E-3</v>
      </c>
      <c r="E6" s="7">
        <f>$B6 * IFERROR(VLOOKUP("LULUCF|PM25|Asthma symptoms cough", US_national_yearly!$D:$AM, 13, FALSE) / VLOOKUP("LULUCF|PM25|Asthma symptoms cough", US_national_yearly!$D:$AM, 10, FALSE), 1)</f>
        <v>2.6061258444251985E-3</v>
      </c>
      <c r="F6" s="7">
        <f>$B6 * IFERROR(VLOOKUP("LULUCF|PM25|Asthma symptoms cough", US_national_yearly!$D:$AM, 14, FALSE) / VLOOKUP("LULUCF|PM25|Asthma symptoms cough", US_national_yearly!$D:$AM, 10, FALSE), 1)</f>
        <v>2.6061258444251985E-3</v>
      </c>
      <c r="G6" s="7">
        <f>$B6 * IFERROR(VLOOKUP("LULUCF|PM25|Asthma symptoms cough", US_national_yearly!$D:$AM, 15, FALSE) / VLOOKUP("LULUCF|PM25|Asthma symptoms cough", US_national_yearly!$D:$AM, 10, FALSE), 1)</f>
        <v>2.6061258444251985E-3</v>
      </c>
      <c r="H6" s="7">
        <f>$B6 * IFERROR(VLOOKUP("LULUCF|PM25|Asthma symptoms cough", US_national_yearly!$D:$AM, 16, FALSE) / VLOOKUP("LULUCF|PM25|Asthma symptoms cough", US_national_yearly!$D:$AM, 10, FALSE), 1)</f>
        <v>2.6061258444251985E-3</v>
      </c>
      <c r="I6" s="7">
        <f>$B6 * IFERROR(VLOOKUP("LULUCF|PM25|Asthma symptoms cough", US_national_yearly!$D:$AM, 17, FALSE) / VLOOKUP("LULUCF|PM25|Asthma symptoms cough", US_national_yearly!$D:$AM, 10, FALSE), 1)</f>
        <v>2.6061258444251985E-3</v>
      </c>
      <c r="J6" s="7">
        <f>$B6 * IFERROR(VLOOKUP("LULUCF|PM25|Asthma symptoms cough", US_national_yearly!$D:$AM, 18, FALSE) / VLOOKUP("LULUCF|PM25|Asthma symptoms cough", US_national_yearly!$D:$AM, 10, FALSE), 1)</f>
        <v>2.6061258444251985E-3</v>
      </c>
      <c r="K6" s="7">
        <f>$B6 * IFERROR(VLOOKUP("LULUCF|PM25|Asthma symptoms cough", US_national_yearly!$D:$AM, 19, FALSE) / VLOOKUP("LULUCF|PM25|Asthma symptoms cough", US_national_yearly!$D:$AM, 10, FALSE), 1)</f>
        <v>2.6061258444251985E-3</v>
      </c>
      <c r="L6" s="7">
        <f>$B6 * IFERROR(VLOOKUP("LULUCF|PM25|Asthma symptoms cough", US_national_yearly!$D:$AM, 20, FALSE) / VLOOKUP("LULUCF|PM25|Asthma symptoms cough", US_national_yearly!$D:$AM, 10, FALSE), 1)</f>
        <v>2.6061258444251985E-3</v>
      </c>
      <c r="M6" s="7">
        <f>$B6 * IFERROR(VLOOKUP("LULUCF|PM25|Asthma symptoms cough", US_national_yearly!$D:$AM, 21, FALSE) / VLOOKUP("LULUCF|PM25|Asthma symptoms cough", US_national_yearly!$D:$AM, 10, FALSE), 1)</f>
        <v>2.6061258444251985E-3</v>
      </c>
      <c r="N6" s="7">
        <f>$B6 * IFERROR(VLOOKUP("LULUCF|PM25|Asthma symptoms cough", US_national_yearly!$D:$AM, 22, FALSE) / VLOOKUP("LULUCF|PM25|Asthma symptoms cough", US_national_yearly!$D:$AM, 10, FALSE), 1)</f>
        <v>2.6061258444251985E-3</v>
      </c>
      <c r="O6" s="7">
        <f>$B6 * IFERROR(VLOOKUP("LULUCF|PM25|Asthma symptoms cough", US_national_yearly!$D:$AM, 23, FALSE) / VLOOKUP("LULUCF|PM25|Asthma symptoms cough", US_national_yearly!$D:$AM, 10, FALSE), 1)</f>
        <v>2.6061258444251985E-3</v>
      </c>
      <c r="P6" s="7">
        <f>$B6 * IFERROR(VLOOKUP("LULUCF|PM25|Asthma symptoms cough", US_national_yearly!$D:$AM, 24, FALSE) / VLOOKUP("LULUCF|PM25|Asthma symptoms cough", US_national_yearly!$D:$AM, 10, FALSE), 1)</f>
        <v>2.6061258444251985E-3</v>
      </c>
      <c r="Q6" s="7">
        <f>$B6 * IFERROR(VLOOKUP("LULUCF|PM25|Asthma symptoms cough", US_national_yearly!$D:$AM, 25, FALSE) / VLOOKUP("LULUCF|PM25|Asthma symptoms cough", US_national_yearly!$D:$AM, 10, FALSE), 1)</f>
        <v>2.6061258444251985E-3</v>
      </c>
      <c r="R6" s="7">
        <f>$B6 * IFERROR(VLOOKUP("LULUCF|PM25|Asthma symptoms cough", US_national_yearly!$D:$AM, 26, FALSE) / VLOOKUP("LULUCF|PM25|Asthma symptoms cough", US_national_yearly!$D:$AM, 10, FALSE), 1)</f>
        <v>2.6061258444251985E-3</v>
      </c>
      <c r="S6" s="7">
        <f>$B6 * IFERROR(VLOOKUP("LULUCF|PM25|Asthma symptoms cough", US_national_yearly!$D:$AM, 27, FALSE) / VLOOKUP("LULUCF|PM25|Asthma symptoms cough", US_national_yearly!$D:$AM, 10, FALSE), 1)</f>
        <v>2.6061258444251985E-3</v>
      </c>
      <c r="T6" s="7">
        <f>$B6 * IFERROR(VLOOKUP("LULUCF|PM25|Asthma symptoms cough", US_national_yearly!$D:$AM, 28, FALSE) / VLOOKUP("LULUCF|PM25|Asthma symptoms cough", US_national_yearly!$D:$AM, 10, FALSE), 1)</f>
        <v>2.6061258444251985E-3</v>
      </c>
      <c r="U6" s="7">
        <f>$B6 * IFERROR(VLOOKUP("LULUCF|PM25|Asthma symptoms cough", US_national_yearly!$D:$AM, 29, FALSE) / VLOOKUP("LULUCF|PM25|Asthma symptoms cough", US_national_yearly!$D:$AM, 10, FALSE), 1)</f>
        <v>2.6061258444251985E-3</v>
      </c>
      <c r="V6" s="7">
        <f>$B6 * IFERROR(VLOOKUP("LULUCF|PM25|Asthma symptoms cough", US_national_yearly!$D:$AM, 30, FALSE) / VLOOKUP("LULUCF|PM25|Asthma symptoms cough", US_national_yearly!$D:$AM, 10, FALSE), 1)</f>
        <v>2.6061258444251985E-3</v>
      </c>
      <c r="W6" s="7">
        <f>$B6 * IFERROR(VLOOKUP("LULUCF|PM25|Asthma symptoms cough", US_national_yearly!$D:$AM, 31, FALSE) / VLOOKUP("LULUCF|PM25|Asthma symptoms cough", US_national_yearly!$D:$AM, 10, FALSE), 1)</f>
        <v>2.6061258444251985E-3</v>
      </c>
      <c r="X6" s="7">
        <f>$B6 * IFERROR(VLOOKUP("LULUCF|PM25|Asthma symptoms cough", US_national_yearly!$D:$AM, 32, FALSE) / VLOOKUP("LULUCF|PM25|Asthma symptoms cough", US_national_yearly!$D:$AM, 10, FALSE), 1)</f>
        <v>2.6061258444251985E-3</v>
      </c>
      <c r="Y6" s="7">
        <f>$B6 * IFERROR(VLOOKUP("LULUCF|PM25|Asthma symptoms cough", US_national_yearly!$D:$AM, 33, FALSE) / VLOOKUP("LULUCF|PM25|Asthma symptoms cough", US_national_yearly!$D:$AM, 10, FALSE), 1)</f>
        <v>2.6061258444251985E-3</v>
      </c>
      <c r="Z6" s="7">
        <f>$B6 * IFERROR(VLOOKUP("LULUCF|PM25|Asthma symptoms cough", US_national_yearly!$D:$AM, 34, FALSE) / VLOOKUP("LULUCF|PM25|Asthma symptoms cough", US_national_yearly!$D:$AM, 10, FALSE), 1)</f>
        <v>2.6061258444251985E-3</v>
      </c>
      <c r="AA6" s="7">
        <f>$B6 * IFERROR(VLOOKUP("LULUCF|PM25|Asthma symptoms cough", US_national_yearly!$D:$AM, 35, FALSE) / VLOOKUP("LULUCF|PM25|Asthma symptoms cough", US_national_yearly!$D:$AM, 10, FALSE), 1)</f>
        <v>2.6061258444251985E-3</v>
      </c>
      <c r="AB6" s="7">
        <f>$B6 * IFERROR(VLOOKUP("LULUCF|PM25|Asthma symptoms cough", US_national_yearly!$D:$AM, 36, FALSE) / VLOOKUP("LULUCF|PM25|Asthma symptoms cough", US_national_yearly!$D:$AM, 10, FALSE), 1)</f>
        <v>2.6061258444251985E-3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3.5095180846579856E-3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3.5095180846579856E-3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3.5095180846579856E-3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3.5095180846579856E-3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3.5095180846579856E-3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3.5095180846579856E-3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3.5095180846579856E-3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3.5095180846579856E-3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3.5095180846579856E-3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3.5095180846579856E-3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3.5095180846579856E-3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3.5095180846579856E-3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3.5095180846579856E-3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3.5095180846579856E-3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3.5095180846579856E-3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3.5095180846579856E-3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3.5095180846579856E-3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3.5095180846579856E-3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3.5095180846579856E-3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3.5095180846579856E-3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3.5095180846579856E-3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3.5095180846579856E-3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3.5095180846579856E-3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3.5095180846579856E-3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3.5095180846579856E-3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3.5095180846579856E-3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3.5095180846579856E-3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5.3619792634888308E-3</v>
      </c>
      <c r="C8" s="7">
        <f>$B8 * IFERROR(VLOOKUP("LULUCF|PM25|Asthma symptoms wheeze", US_national_yearly!$D:$AM, 11, FALSE) / VLOOKUP("LULUCF|PM25|Asthma symptoms wheeze", US_national_yearly!$D:$AM, 10, FALSE), 1)</f>
        <v>5.3619792634888308E-3</v>
      </c>
      <c r="D8" s="7">
        <f>$B8 * IFERROR(VLOOKUP("LULUCF|PM25|Asthma symptoms wheeze", US_national_yearly!$D:$AM, 12, FALSE) / VLOOKUP("LULUCF|PM25|Asthma symptoms wheeze", US_national_yearly!$D:$AM, 10, FALSE), 1)</f>
        <v>5.3619792634888308E-3</v>
      </c>
      <c r="E8" s="7">
        <f>$B8 * IFERROR(VLOOKUP("LULUCF|PM25|Asthma symptoms wheeze", US_national_yearly!$D:$AM, 13, FALSE) / VLOOKUP("LULUCF|PM25|Asthma symptoms wheeze", US_national_yearly!$D:$AM, 10, FALSE), 1)</f>
        <v>5.3619792634888308E-3</v>
      </c>
      <c r="F8" s="7">
        <f>$B8 * IFERROR(VLOOKUP("LULUCF|PM25|Asthma symptoms wheeze", US_national_yearly!$D:$AM, 14, FALSE) / VLOOKUP("LULUCF|PM25|Asthma symptoms wheeze", US_national_yearly!$D:$AM, 10, FALSE), 1)</f>
        <v>5.3619792634888308E-3</v>
      </c>
      <c r="G8" s="7">
        <f>$B8 * IFERROR(VLOOKUP("LULUCF|PM25|Asthma symptoms wheeze", US_national_yearly!$D:$AM, 15, FALSE) / VLOOKUP("LULUCF|PM25|Asthma symptoms wheeze", US_national_yearly!$D:$AM, 10, FALSE), 1)</f>
        <v>5.3619792634888308E-3</v>
      </c>
      <c r="H8" s="7">
        <f>$B8 * IFERROR(VLOOKUP("LULUCF|PM25|Asthma symptoms wheeze", US_national_yearly!$D:$AM, 16, FALSE) / VLOOKUP("LULUCF|PM25|Asthma symptoms wheeze", US_national_yearly!$D:$AM, 10, FALSE), 1)</f>
        <v>5.3619792634888308E-3</v>
      </c>
      <c r="I8" s="7">
        <f>$B8 * IFERROR(VLOOKUP("LULUCF|PM25|Asthma symptoms wheeze", US_national_yearly!$D:$AM, 17, FALSE) / VLOOKUP("LULUCF|PM25|Asthma symptoms wheeze", US_national_yearly!$D:$AM, 10, FALSE), 1)</f>
        <v>5.3619792634888308E-3</v>
      </c>
      <c r="J8" s="7">
        <f>$B8 * IFERROR(VLOOKUP("LULUCF|PM25|Asthma symptoms wheeze", US_national_yearly!$D:$AM, 18, FALSE) / VLOOKUP("LULUCF|PM25|Asthma symptoms wheeze", US_national_yearly!$D:$AM, 10, FALSE), 1)</f>
        <v>5.3619792634888308E-3</v>
      </c>
      <c r="K8" s="7">
        <f>$B8 * IFERROR(VLOOKUP("LULUCF|PM25|Asthma symptoms wheeze", US_national_yearly!$D:$AM, 19, FALSE) / VLOOKUP("LULUCF|PM25|Asthma symptoms wheeze", US_national_yearly!$D:$AM, 10, FALSE), 1)</f>
        <v>5.3619792634888308E-3</v>
      </c>
      <c r="L8" s="7">
        <f>$B8 * IFERROR(VLOOKUP("LULUCF|PM25|Asthma symptoms wheeze", US_national_yearly!$D:$AM, 20, FALSE) / VLOOKUP("LULUCF|PM25|Asthma symptoms wheeze", US_national_yearly!$D:$AM, 10, FALSE), 1)</f>
        <v>5.3619792634888308E-3</v>
      </c>
      <c r="M8" s="7">
        <f>$B8 * IFERROR(VLOOKUP("LULUCF|PM25|Asthma symptoms wheeze", US_national_yearly!$D:$AM, 21, FALSE) / VLOOKUP("LULUCF|PM25|Asthma symptoms wheeze", US_national_yearly!$D:$AM, 10, FALSE), 1)</f>
        <v>5.3619792634888308E-3</v>
      </c>
      <c r="N8" s="7">
        <f>$B8 * IFERROR(VLOOKUP("LULUCF|PM25|Asthma symptoms wheeze", US_national_yearly!$D:$AM, 22, FALSE) / VLOOKUP("LULUCF|PM25|Asthma symptoms wheeze", US_national_yearly!$D:$AM, 10, FALSE), 1)</f>
        <v>5.3619792634888308E-3</v>
      </c>
      <c r="O8" s="7">
        <f>$B8 * IFERROR(VLOOKUP("LULUCF|PM25|Asthma symptoms wheeze", US_national_yearly!$D:$AM, 23, FALSE) / VLOOKUP("LULUCF|PM25|Asthma symptoms wheeze", US_national_yearly!$D:$AM, 10, FALSE), 1)</f>
        <v>5.3619792634888308E-3</v>
      </c>
      <c r="P8" s="7">
        <f>$B8 * IFERROR(VLOOKUP("LULUCF|PM25|Asthma symptoms wheeze", US_national_yearly!$D:$AM, 24, FALSE) / VLOOKUP("LULUCF|PM25|Asthma symptoms wheeze", US_national_yearly!$D:$AM, 10, FALSE), 1)</f>
        <v>5.3619792634888308E-3</v>
      </c>
      <c r="Q8" s="7">
        <f>$B8 * IFERROR(VLOOKUP("LULUCF|PM25|Asthma symptoms wheeze", US_national_yearly!$D:$AM, 25, FALSE) / VLOOKUP("LULUCF|PM25|Asthma symptoms wheeze", US_national_yearly!$D:$AM, 10, FALSE), 1)</f>
        <v>5.3619792634888308E-3</v>
      </c>
      <c r="R8" s="7">
        <f>$B8 * IFERROR(VLOOKUP("LULUCF|PM25|Asthma symptoms wheeze", US_national_yearly!$D:$AM, 26, FALSE) / VLOOKUP("LULUCF|PM25|Asthma symptoms wheeze", US_national_yearly!$D:$AM, 10, FALSE), 1)</f>
        <v>5.3619792634888308E-3</v>
      </c>
      <c r="S8" s="7">
        <f>$B8 * IFERROR(VLOOKUP("LULUCF|PM25|Asthma symptoms wheeze", US_national_yearly!$D:$AM, 27, FALSE) / VLOOKUP("LULUCF|PM25|Asthma symptoms wheeze", US_national_yearly!$D:$AM, 10, FALSE), 1)</f>
        <v>5.3619792634888308E-3</v>
      </c>
      <c r="T8" s="7">
        <f>$B8 * IFERROR(VLOOKUP("LULUCF|PM25|Asthma symptoms wheeze", US_national_yearly!$D:$AM, 28, FALSE) / VLOOKUP("LULUCF|PM25|Asthma symptoms wheeze", US_national_yearly!$D:$AM, 10, FALSE), 1)</f>
        <v>5.3619792634888308E-3</v>
      </c>
      <c r="U8" s="7">
        <f>$B8 * IFERROR(VLOOKUP("LULUCF|PM25|Asthma symptoms wheeze", US_national_yearly!$D:$AM, 29, FALSE) / VLOOKUP("LULUCF|PM25|Asthma symptoms wheeze", US_national_yearly!$D:$AM, 10, FALSE), 1)</f>
        <v>5.3619792634888308E-3</v>
      </c>
      <c r="V8" s="7">
        <f>$B8 * IFERROR(VLOOKUP("LULUCF|PM25|Asthma symptoms wheeze", US_national_yearly!$D:$AM, 30, FALSE) / VLOOKUP("LULUCF|PM25|Asthma symptoms wheeze", US_national_yearly!$D:$AM, 10, FALSE), 1)</f>
        <v>5.3619792634888308E-3</v>
      </c>
      <c r="W8" s="7">
        <f>$B8 * IFERROR(VLOOKUP("LULUCF|PM25|Asthma symptoms wheeze", US_national_yearly!$D:$AM, 31, FALSE) / VLOOKUP("LULUCF|PM25|Asthma symptoms wheeze", US_national_yearly!$D:$AM, 10, FALSE), 1)</f>
        <v>5.3619792634888308E-3</v>
      </c>
      <c r="X8" s="7">
        <f>$B8 * IFERROR(VLOOKUP("LULUCF|PM25|Asthma symptoms wheeze", US_national_yearly!$D:$AM, 32, FALSE) / VLOOKUP("LULUCF|PM25|Asthma symptoms wheeze", US_national_yearly!$D:$AM, 10, FALSE), 1)</f>
        <v>5.3619792634888308E-3</v>
      </c>
      <c r="Y8" s="7">
        <f>$B8 * IFERROR(VLOOKUP("LULUCF|PM25|Asthma symptoms wheeze", US_national_yearly!$D:$AM, 33, FALSE) / VLOOKUP("LULUCF|PM25|Asthma symptoms wheeze", US_national_yearly!$D:$AM, 10, FALSE), 1)</f>
        <v>5.3619792634888308E-3</v>
      </c>
      <c r="Z8" s="7">
        <f>$B8 * IFERROR(VLOOKUP("LULUCF|PM25|Asthma symptoms wheeze", US_national_yearly!$D:$AM, 34, FALSE) / VLOOKUP("LULUCF|PM25|Asthma symptoms wheeze", US_national_yearly!$D:$AM, 10, FALSE), 1)</f>
        <v>5.3619792634888308E-3</v>
      </c>
      <c r="AA8" s="7">
        <f>$B8 * IFERROR(VLOOKUP("LULUCF|PM25|Asthma symptoms wheeze", US_national_yearly!$D:$AM, 35, FALSE) / VLOOKUP("LULUCF|PM25|Asthma symptoms wheeze", US_national_yearly!$D:$AM, 10, FALSE), 1)</f>
        <v>5.3619792634888308E-3</v>
      </c>
      <c r="AB8" s="7">
        <f>$B8 * IFERROR(VLOOKUP("LULUCF|PM25|Asthma symptoms wheeze", US_national_yearly!$D:$AM, 36, FALSE) / VLOOKUP("LULUCF|PM25|Asthma symptoms wheeze", US_national_yearly!$D:$AM, 10, FALSE), 1)</f>
        <v>5.3619792634888308E-3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7.539202782387615E-5</v>
      </c>
      <c r="C12" s="7">
        <f>$B12 * IFERROR(VLOOKUP("LULUCF|PM25|Respiratory hospital admissions", US_national_yearly!$D:$AM, 11, FALSE) / VLOOKUP("LULUCF|PM25|Respiratory hospital admissions", US_national_yearly!$D:$AM, 10, FALSE), 1)</f>
        <v>7.5824144540081643E-5</v>
      </c>
      <c r="D12" s="7">
        <f>$B12 * IFERROR(VLOOKUP("LULUCF|PM25|Respiratory hospital admissions", US_national_yearly!$D:$AM, 12, FALSE) / VLOOKUP("LULUCF|PM25|Respiratory hospital admissions", US_national_yearly!$D:$AM, 10, FALSE), 1)</f>
        <v>7.6256261256287108E-5</v>
      </c>
      <c r="E12" s="7">
        <f>$B12 * IFERROR(VLOOKUP("LULUCF|PM25|Respiratory hospital admissions", US_national_yearly!$D:$AM, 13, FALSE) / VLOOKUP("LULUCF|PM25|Respiratory hospital admissions", US_national_yearly!$D:$AM, 10, FALSE), 1)</f>
        <v>7.6688377972492601E-5</v>
      </c>
      <c r="F12" s="7">
        <f>$B12 * IFERROR(VLOOKUP("LULUCF|PM25|Respiratory hospital admissions", US_national_yearly!$D:$AM, 14, FALSE) / VLOOKUP("LULUCF|PM25|Respiratory hospital admissions", US_national_yearly!$D:$AM, 10, FALSE), 1)</f>
        <v>7.7120494688698066E-5</v>
      </c>
      <c r="G12" s="7">
        <f>$B12 * IFERROR(VLOOKUP("LULUCF|PM25|Respiratory hospital admissions", US_national_yearly!$D:$AM, 15, FALSE) / VLOOKUP("LULUCF|PM25|Respiratory hospital admissions", US_national_yearly!$D:$AM, 10, FALSE), 1)</f>
        <v>7.7587199174257641E-5</v>
      </c>
      <c r="H12" s="7">
        <f>$B12 * IFERROR(VLOOKUP("LULUCF|PM25|Respiratory hospital admissions", US_national_yearly!$D:$AM, 16, FALSE) / VLOOKUP("LULUCF|PM25|Respiratory hospital admissions", US_national_yearly!$D:$AM, 10, FALSE), 1)</f>
        <v>7.8053903659817215E-5</v>
      </c>
      <c r="I12" s="7">
        <f>$B12 * IFERROR(VLOOKUP("LULUCF|PM25|Respiratory hospital admissions", US_national_yearly!$D:$AM, 17, FALSE) / VLOOKUP("LULUCF|PM25|Respiratory hospital admissions", US_national_yearly!$D:$AM, 10, FALSE), 1)</f>
        <v>7.8499822064026926E-5</v>
      </c>
      <c r="J12" s="7">
        <f>$B12 * IFERROR(VLOOKUP("LULUCF|PM25|Respiratory hospital admissions", US_national_yearly!$D:$AM, 18, FALSE) / VLOOKUP("LULUCF|PM25|Respiratory hospital admissions", US_national_yearly!$D:$AM, 10, FALSE), 1)</f>
        <v>7.8945740468236664E-5</v>
      </c>
      <c r="K12" s="7">
        <f>$B12 * IFERROR(VLOOKUP("LULUCF|PM25|Respiratory hospital admissions", US_national_yearly!$D:$AM, 19, FALSE) / VLOOKUP("LULUCF|PM25|Respiratory hospital admissions", US_national_yearly!$D:$AM, 10, FALSE), 1)</f>
        <v>7.9391658872446388E-5</v>
      </c>
      <c r="L12" s="7">
        <f>$B12 * IFERROR(VLOOKUP("LULUCF|PM25|Respiratory hospital admissions", US_national_yearly!$D:$AM, 20, FALSE) / VLOOKUP("LULUCF|PM25|Respiratory hospital admissions", US_national_yearly!$D:$AM, 10, FALSE), 1)</f>
        <v>7.9837577276656126E-5</v>
      </c>
      <c r="M12" s="7">
        <f>$B12 * IFERROR(VLOOKUP("LULUCF|PM25|Respiratory hospital admissions", US_national_yearly!$D:$AM, 21, FALSE) / VLOOKUP("LULUCF|PM25|Respiratory hospital admissions", US_national_yearly!$D:$AM, 10, FALSE), 1)</f>
        <v>8.0283495680865836E-5</v>
      </c>
      <c r="N12" s="7">
        <f>$B12 * IFERROR(VLOOKUP("LULUCF|PM25|Respiratory hospital admissions", US_national_yearly!$D:$AM, 22, FALSE) / VLOOKUP("LULUCF|PM25|Respiratory hospital admissions", US_national_yearly!$D:$AM, 10, FALSE), 1)</f>
        <v>8.0603544332281791E-5</v>
      </c>
      <c r="O12" s="7">
        <f>$B12 * IFERROR(VLOOKUP("LULUCF|PM25|Respiratory hospital admissions", US_national_yearly!$D:$AM, 23, FALSE) / VLOOKUP("LULUCF|PM25|Respiratory hospital admissions", US_national_yearly!$D:$AM, 10, FALSE), 1)</f>
        <v>8.0923592983697719E-5</v>
      </c>
      <c r="P12" s="7">
        <f>$B12 * IFERROR(VLOOKUP("LULUCF|PM25|Respiratory hospital admissions", US_national_yearly!$D:$AM, 24, FALSE) / VLOOKUP("LULUCF|PM25|Respiratory hospital admissions", US_national_yearly!$D:$AM, 10, FALSE), 1)</f>
        <v>8.1243641635113633E-5</v>
      </c>
      <c r="Q12" s="7">
        <f>$B12 * IFERROR(VLOOKUP("LULUCF|PM25|Respiratory hospital admissions", US_national_yearly!$D:$AM, 25, FALSE) / VLOOKUP("LULUCF|PM25|Respiratory hospital admissions", US_national_yearly!$D:$AM, 10, FALSE), 1)</f>
        <v>8.1563690286529575E-5</v>
      </c>
      <c r="R12" s="7">
        <f>$B12 * IFERROR(VLOOKUP("LULUCF|PM25|Respiratory hospital admissions", US_national_yearly!$D:$AM, 26, FALSE) / VLOOKUP("LULUCF|PM25|Respiratory hospital admissions", US_national_yearly!$D:$AM, 10, FALSE), 1)</f>
        <v>8.1883738937945516E-5</v>
      </c>
      <c r="S12" s="7">
        <f>$B12 * IFERROR(VLOOKUP("LULUCF|PM25|Respiratory hospital admissions", US_national_yearly!$D:$AM, 27, FALSE) / VLOOKUP("LULUCF|PM25|Respiratory hospital admissions", US_national_yearly!$D:$AM, 10, FALSE), 1)</f>
        <v>8.2188467426222612E-5</v>
      </c>
      <c r="T12" s="7">
        <f>$B12 * IFERROR(VLOOKUP("LULUCF|PM25|Respiratory hospital admissions", US_national_yearly!$D:$AM, 28, FALSE) / VLOOKUP("LULUCF|PM25|Respiratory hospital admissions", US_national_yearly!$D:$AM, 10, FALSE), 1)</f>
        <v>8.2493195914499736E-5</v>
      </c>
      <c r="U12" s="7">
        <f>$B12 * IFERROR(VLOOKUP("LULUCF|PM25|Respiratory hospital admissions", US_national_yearly!$D:$AM, 29, FALSE) / VLOOKUP("LULUCF|PM25|Respiratory hospital admissions", US_national_yearly!$D:$AM, 10, FALSE), 1)</f>
        <v>8.2797924402776832E-5</v>
      </c>
      <c r="V12" s="7">
        <f>$B12 * IFERROR(VLOOKUP("LULUCF|PM25|Respiratory hospital admissions", US_national_yearly!$D:$AM, 30, FALSE) / VLOOKUP("LULUCF|PM25|Respiratory hospital admissions", US_national_yearly!$D:$AM, 10, FALSE), 1)</f>
        <v>8.3102652891053929E-5</v>
      </c>
      <c r="W12" s="7">
        <f>$B12 * IFERROR(VLOOKUP("LULUCF|PM25|Respiratory hospital admissions", US_national_yearly!$D:$AM, 31, FALSE) / VLOOKUP("LULUCF|PM25|Respiratory hospital admissions", US_national_yearly!$D:$AM, 10, FALSE), 1)</f>
        <v>8.3407381379331025E-5</v>
      </c>
      <c r="X12" s="7">
        <f>$B12 * IFERROR(VLOOKUP("LULUCF|PM25|Respiratory hospital admissions", US_national_yearly!$D:$AM, 32, FALSE) / VLOOKUP("LULUCF|PM25|Respiratory hospital admissions", US_national_yearly!$D:$AM, 10, FALSE), 1)</f>
        <v>8.370053407222205E-5</v>
      </c>
      <c r="Y12" s="7">
        <f>$B12 * IFERROR(VLOOKUP("LULUCF|PM25|Respiratory hospital admissions", US_national_yearly!$D:$AM, 33, FALSE) / VLOOKUP("LULUCF|PM25|Respiratory hospital admissions", US_national_yearly!$D:$AM, 10, FALSE), 1)</f>
        <v>8.3993686765113047E-5</v>
      </c>
      <c r="Z12" s="7">
        <f>$B12 * IFERROR(VLOOKUP("LULUCF|PM25|Respiratory hospital admissions", US_national_yearly!$D:$AM, 34, FALSE) / VLOOKUP("LULUCF|PM25|Respiratory hospital admissions", US_national_yearly!$D:$AM, 10, FALSE), 1)</f>
        <v>8.4286839458004044E-5</v>
      </c>
      <c r="AA12" s="7">
        <f>$B12 * IFERROR(VLOOKUP("LULUCF|PM25|Respiratory hospital admissions", US_national_yearly!$D:$AM, 35, FALSE) / VLOOKUP("LULUCF|PM25|Respiratory hospital admissions", US_national_yearly!$D:$AM, 10, FALSE), 1)</f>
        <v>8.4579992150895042E-5</v>
      </c>
      <c r="AB12" s="7">
        <f>$B12 * IFERROR(VLOOKUP("LULUCF|PM25|Respiratory hospital admissions", US_national_yearly!$D:$AM, 36, FALSE) / VLOOKUP("LULUCF|PM25|Respiratory hospital admissions", US_national_yearly!$D:$AM, 10, FALSE), 1)</f>
        <v>8.4873144843786052E-5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4.4562839632597182E-4</v>
      </c>
      <c r="C13" s="7">
        <f>$B13 * IFERROR(VLOOKUP("LULUCF|PM25|Non-fatal heart attacks", US_national_yearly!$D:$AM, 11, FALSE) / VLOOKUP("LULUCF|PM25|Non-fatal heart attacks", US_national_yearly!$D:$AM, 10, FALSE), 1)</f>
        <v>4.5858399636958746E-4</v>
      </c>
      <c r="D13" s="7">
        <f>$B13 * IFERROR(VLOOKUP("LULUCF|PM25|Non-fatal heart attacks", US_national_yearly!$D:$AM, 12, FALSE) / VLOOKUP("LULUCF|PM25|Non-fatal heart attacks", US_national_yearly!$D:$AM, 10, FALSE), 1)</f>
        <v>4.7153959641320315E-4</v>
      </c>
      <c r="E13" s="7">
        <f>$B13 * IFERROR(VLOOKUP("LULUCF|PM25|Non-fatal heart attacks", US_national_yearly!$D:$AM, 13, FALSE) / VLOOKUP("LULUCF|PM25|Non-fatal heart attacks", US_national_yearly!$D:$AM, 10, FALSE), 1)</f>
        <v>4.8449519645681874E-4</v>
      </c>
      <c r="F13" s="7">
        <f>$B13 * IFERROR(VLOOKUP("LULUCF|PM25|Non-fatal heart attacks", US_national_yearly!$D:$AM, 14, FALSE) / VLOOKUP("LULUCF|PM25|Non-fatal heart attacks", US_national_yearly!$D:$AM, 10, FALSE), 1)</f>
        <v>4.9745079650043449E-4</v>
      </c>
      <c r="G13" s="7">
        <f>$B13 * IFERROR(VLOOKUP("LULUCF|PM25|Non-fatal heart attacks", US_national_yearly!$D:$AM, 15, FALSE) / VLOOKUP("LULUCF|PM25|Non-fatal heart attacks", US_national_yearly!$D:$AM, 10, FALSE), 1)</f>
        <v>5.0966874637872002E-4</v>
      </c>
      <c r="H13" s="7">
        <f>$B13 * IFERROR(VLOOKUP("LULUCF|PM25|Non-fatal heart attacks", US_national_yearly!$D:$AM, 16, FALSE) / VLOOKUP("LULUCF|PM25|Non-fatal heart attacks", US_national_yearly!$D:$AM, 10, FALSE), 1)</f>
        <v>5.2188669625700544E-4</v>
      </c>
      <c r="I13" s="7">
        <f>$B13 * IFERROR(VLOOKUP("LULUCF|PM25|Non-fatal heart attacks", US_national_yearly!$D:$AM, 17, FALSE) / VLOOKUP("LULUCF|PM25|Non-fatal heart attacks", US_national_yearly!$D:$AM, 10, FALSE), 1)</f>
        <v>5.3170586237516698E-4</v>
      </c>
      <c r="J13" s="7">
        <f>$B13 * IFERROR(VLOOKUP("LULUCF|PM25|Non-fatal heart attacks", US_national_yearly!$D:$AM, 18, FALSE) / VLOOKUP("LULUCF|PM25|Non-fatal heart attacks", US_national_yearly!$D:$AM, 10, FALSE), 1)</f>
        <v>5.4152502849332841E-4</v>
      </c>
      <c r="K13" s="7">
        <f>$B13 * IFERROR(VLOOKUP("LULUCF|PM25|Non-fatal heart attacks", US_national_yearly!$D:$AM, 19, FALSE) / VLOOKUP("LULUCF|PM25|Non-fatal heart attacks", US_national_yearly!$D:$AM, 10, FALSE), 1)</f>
        <v>5.5134419461148995E-4</v>
      </c>
      <c r="L13" s="7">
        <f>$B13 * IFERROR(VLOOKUP("LULUCF|PM25|Non-fatal heart attacks", US_national_yearly!$D:$AM, 20, FALSE) / VLOOKUP("LULUCF|PM25|Non-fatal heart attacks", US_national_yearly!$D:$AM, 10, FALSE), 1)</f>
        <v>5.6116336072965149E-4</v>
      </c>
      <c r="M13" s="7">
        <f>$B13 * IFERROR(VLOOKUP("LULUCF|PM25|Non-fatal heart attacks", US_national_yearly!$D:$AM, 21, FALSE) / VLOOKUP("LULUCF|PM25|Non-fatal heart attacks", US_national_yearly!$D:$AM, 10, FALSE), 1)</f>
        <v>5.7098252684781303E-4</v>
      </c>
      <c r="N13" s="7">
        <f>$B13 * IFERROR(VLOOKUP("LULUCF|PM25|Non-fatal heart attacks", US_national_yearly!$D:$AM, 22, FALSE) / VLOOKUP("LULUCF|PM25|Non-fatal heart attacks", US_national_yearly!$D:$AM, 10, FALSE), 1)</f>
        <v>5.7731491939575885E-4</v>
      </c>
      <c r="O13" s="7">
        <f>$B13 * IFERROR(VLOOKUP("LULUCF|PM25|Non-fatal heart attacks", US_national_yearly!$D:$AM, 23, FALSE) / VLOOKUP("LULUCF|PM25|Non-fatal heart attacks", US_national_yearly!$D:$AM, 10, FALSE), 1)</f>
        <v>5.8364731194370477E-4</v>
      </c>
      <c r="P13" s="7">
        <f>$B13 * IFERROR(VLOOKUP("LULUCF|PM25|Non-fatal heart attacks", US_national_yearly!$D:$AM, 24, FALSE) / VLOOKUP("LULUCF|PM25|Non-fatal heart attacks", US_national_yearly!$D:$AM, 10, FALSE), 1)</f>
        <v>5.8997970449165059E-4</v>
      </c>
      <c r="Q13" s="7">
        <f>$B13 * IFERROR(VLOOKUP("LULUCF|PM25|Non-fatal heart attacks", US_national_yearly!$D:$AM, 25, FALSE) / VLOOKUP("LULUCF|PM25|Non-fatal heart attacks", US_national_yearly!$D:$AM, 10, FALSE), 1)</f>
        <v>5.963120970395964E-4</v>
      </c>
      <c r="R13" s="7">
        <f>$B13 * IFERROR(VLOOKUP("LULUCF|PM25|Non-fatal heart attacks", US_national_yearly!$D:$AM, 26, FALSE) / VLOOKUP("LULUCF|PM25|Non-fatal heart attacks", US_national_yearly!$D:$AM, 10, FALSE), 1)</f>
        <v>6.0264448958754233E-4</v>
      </c>
      <c r="S13" s="7">
        <f>$B13 * IFERROR(VLOOKUP("LULUCF|PM25|Non-fatal heart attacks", US_national_yearly!$D:$AM, 27, FALSE) / VLOOKUP("LULUCF|PM25|Non-fatal heart attacks", US_national_yearly!$D:$AM, 10, FALSE), 1)</f>
        <v>6.0597930841836494E-4</v>
      </c>
      <c r="T13" s="7">
        <f>$B13 * IFERROR(VLOOKUP("LULUCF|PM25|Non-fatal heart attacks", US_national_yearly!$D:$AM, 28, FALSE) / VLOOKUP("LULUCF|PM25|Non-fatal heart attacks", US_national_yearly!$D:$AM, 10, FALSE), 1)</f>
        <v>6.0931412724918776E-4</v>
      </c>
      <c r="U13" s="7">
        <f>$B13 * IFERROR(VLOOKUP("LULUCF|PM25|Non-fatal heart attacks", US_national_yearly!$D:$AM, 29, FALSE) / VLOOKUP("LULUCF|PM25|Non-fatal heart attacks", US_national_yearly!$D:$AM, 10, FALSE), 1)</f>
        <v>6.126489460800107E-4</v>
      </c>
      <c r="V13" s="7">
        <f>$B13 * IFERROR(VLOOKUP("LULUCF|PM25|Non-fatal heart attacks", US_national_yearly!$D:$AM, 30, FALSE) / VLOOKUP("LULUCF|PM25|Non-fatal heart attacks", US_national_yearly!$D:$AM, 10, FALSE), 1)</f>
        <v>6.1598376491083342E-4</v>
      </c>
      <c r="W13" s="7">
        <f>$B13 * IFERROR(VLOOKUP("LULUCF|PM25|Non-fatal heart attacks", US_national_yearly!$D:$AM, 31, FALSE) / VLOOKUP("LULUCF|PM25|Non-fatal heart attacks", US_national_yearly!$D:$AM, 10, FALSE), 1)</f>
        <v>6.1931858374165614E-4</v>
      </c>
      <c r="X13" s="7">
        <f>$B13 * IFERROR(VLOOKUP("LULUCF|PM25|Non-fatal heart attacks", US_national_yearly!$D:$AM, 32, FALSE) / VLOOKUP("LULUCF|PM25|Non-fatal heart attacks", US_national_yearly!$D:$AM, 10, FALSE), 1)</f>
        <v>6.2185019343914336E-4</v>
      </c>
      <c r="Y13" s="7">
        <f>$B13 * IFERROR(VLOOKUP("LULUCF|PM25|Non-fatal heart attacks", US_national_yearly!$D:$AM, 33, FALSE) / VLOOKUP("LULUCF|PM25|Non-fatal heart attacks", US_national_yearly!$D:$AM, 10, FALSE), 1)</f>
        <v>6.2438180313663058E-4</v>
      </c>
      <c r="Z13" s="7">
        <f>$B13 * IFERROR(VLOOKUP("LULUCF|PM25|Non-fatal heart attacks", US_national_yearly!$D:$AM, 34, FALSE) / VLOOKUP("LULUCF|PM25|Non-fatal heart attacks", US_national_yearly!$D:$AM, 10, FALSE), 1)</f>
        <v>6.2691341283411769E-4</v>
      </c>
      <c r="AA13" s="7">
        <f>$B13 * IFERROR(VLOOKUP("LULUCF|PM25|Non-fatal heart attacks", US_national_yearly!$D:$AM, 35, FALSE) / VLOOKUP("LULUCF|PM25|Non-fatal heart attacks", US_national_yearly!$D:$AM, 10, FALSE), 1)</f>
        <v>6.2944502253160491E-4</v>
      </c>
      <c r="AB13" s="7">
        <f>$B13 * IFERROR(VLOOKUP("LULUCF|PM25|Non-fatal heart attacks", US_national_yearly!$D:$AM, 36, FALSE) / VLOOKUP("LULUCF|PM25|Non-fatal heart attacks", US_national_yearly!$D:$AM, 10, FALSE), 1)</f>
        <v>6.3197663222909202E-4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0.3591740696998979</v>
      </c>
      <c r="C14" s="7">
        <f>$B14 * IFERROR(VLOOKUP("LULUCF|PM25|Minor restricted activity days", US_national_yearly!$D:$AM, 11, FALSE) / VLOOKUP("LULUCF|PM25|Minor restricted activity days", US_national_yearly!$D:$AM, 10, FALSE), 1)</f>
        <v>0.36005121537287543</v>
      </c>
      <c r="D14" s="7">
        <f>$B14 * IFERROR(VLOOKUP("LULUCF|PM25|Minor restricted activity days", US_national_yearly!$D:$AM, 12, FALSE) / VLOOKUP("LULUCF|PM25|Minor restricted activity days", US_national_yearly!$D:$AM, 10, FALSE), 1)</f>
        <v>0.36092836104585296</v>
      </c>
      <c r="E14" s="7">
        <f>$B14 * IFERROR(VLOOKUP("LULUCF|PM25|Minor restricted activity days", US_national_yearly!$D:$AM, 13, FALSE) / VLOOKUP("LULUCF|PM25|Minor restricted activity days", US_national_yearly!$D:$AM, 10, FALSE), 1)</f>
        <v>0.36180550671883055</v>
      </c>
      <c r="F14" s="7">
        <f>$B14 * IFERROR(VLOOKUP("LULUCF|PM25|Minor restricted activity days", US_national_yearly!$D:$AM, 14, FALSE) / VLOOKUP("LULUCF|PM25|Minor restricted activity days", US_national_yearly!$D:$AM, 10, FALSE), 1)</f>
        <v>0.36268265239180802</v>
      </c>
      <c r="G14" s="7">
        <f>$B14 * IFERROR(VLOOKUP("LULUCF|PM25|Minor restricted activity days", US_national_yearly!$D:$AM, 15, FALSE) / VLOOKUP("LULUCF|PM25|Minor restricted activity days", US_national_yearly!$D:$AM, 10, FALSE), 1)</f>
        <v>0.36397685458159118</v>
      </c>
      <c r="H14" s="7">
        <f>$B14 * IFERROR(VLOOKUP("LULUCF|PM25|Minor restricted activity days", US_national_yearly!$D:$AM, 16, FALSE) / VLOOKUP("LULUCF|PM25|Minor restricted activity days", US_national_yearly!$D:$AM, 10, FALSE), 1)</f>
        <v>0.36527105677137439</v>
      </c>
      <c r="I14" s="7">
        <f>$B14 * IFERROR(VLOOKUP("LULUCF|PM25|Minor restricted activity days", US_national_yearly!$D:$AM, 17, FALSE) / VLOOKUP("LULUCF|PM25|Minor restricted activity days", US_national_yearly!$D:$AM, 10, FALSE), 1)</f>
        <v>0.36748354986296999</v>
      </c>
      <c r="J14" s="7">
        <f>$B14 * IFERROR(VLOOKUP("LULUCF|PM25|Minor restricted activity days", US_national_yearly!$D:$AM, 18, FALSE) / VLOOKUP("LULUCF|PM25|Minor restricted activity days", US_national_yearly!$D:$AM, 10, FALSE), 1)</f>
        <v>0.36969604295456548</v>
      </c>
      <c r="K14" s="7">
        <f>$B14 * IFERROR(VLOOKUP("LULUCF|PM25|Minor restricted activity days", US_national_yearly!$D:$AM, 19, FALSE) / VLOOKUP("LULUCF|PM25|Minor restricted activity days", US_national_yearly!$D:$AM, 10, FALSE), 1)</f>
        <v>0.37190853604616114</v>
      </c>
      <c r="L14" s="7">
        <f>$B14 * IFERROR(VLOOKUP("LULUCF|PM25|Minor restricted activity days", US_national_yearly!$D:$AM, 20, FALSE) / VLOOKUP("LULUCF|PM25|Minor restricted activity days", US_national_yearly!$D:$AM, 10, FALSE), 1)</f>
        <v>0.37412102913775669</v>
      </c>
      <c r="M14" s="7">
        <f>$B14 * IFERROR(VLOOKUP("LULUCF|PM25|Minor restricted activity days", US_national_yearly!$D:$AM, 21, FALSE) / VLOOKUP("LULUCF|PM25|Minor restricted activity days", US_national_yearly!$D:$AM, 10, FALSE), 1)</f>
        <v>0.37633352222935224</v>
      </c>
      <c r="N14" s="7">
        <f>$B14 * IFERROR(VLOOKUP("LULUCF|PM25|Minor restricted activity days", US_national_yearly!$D:$AM, 22, FALSE) / VLOOKUP("LULUCF|PM25|Minor restricted activity days", US_national_yearly!$D:$AM, 10, FALSE), 1)</f>
        <v>0.37934737832669657</v>
      </c>
      <c r="O14" s="7">
        <f>$B14 * IFERROR(VLOOKUP("LULUCF|PM25|Minor restricted activity days", US_national_yearly!$D:$AM, 23, FALSE) / VLOOKUP("LULUCF|PM25|Minor restricted activity days", US_national_yearly!$D:$AM, 10, FALSE), 1)</f>
        <v>0.3823612344240408</v>
      </c>
      <c r="P14" s="7">
        <f>$B14 * IFERROR(VLOOKUP("LULUCF|PM25|Minor restricted activity days", US_national_yearly!$D:$AM, 24, FALSE) / VLOOKUP("LULUCF|PM25|Minor restricted activity days", US_national_yearly!$D:$AM, 10, FALSE), 1)</f>
        <v>0.38537509052138513</v>
      </c>
      <c r="Q14" s="7">
        <f>$B14 * IFERROR(VLOOKUP("LULUCF|PM25|Minor restricted activity days", US_national_yearly!$D:$AM, 25, FALSE) / VLOOKUP("LULUCF|PM25|Minor restricted activity days", US_national_yearly!$D:$AM, 10, FALSE), 1)</f>
        <v>0.38838894661872936</v>
      </c>
      <c r="R14" s="7">
        <f>$B14 * IFERROR(VLOOKUP("LULUCF|PM25|Minor restricted activity days", US_national_yearly!$D:$AM, 26, FALSE) / VLOOKUP("LULUCF|PM25|Minor restricted activity days", US_national_yearly!$D:$AM, 10, FALSE), 1)</f>
        <v>0.39140280271607358</v>
      </c>
      <c r="S14" s="7">
        <f>$B14 * IFERROR(VLOOKUP("LULUCF|PM25|Minor restricted activity days", US_national_yearly!$D:$AM, 27, FALSE) / VLOOKUP("LULUCF|PM25|Minor restricted activity days", US_national_yearly!$D:$AM, 10, FALSE), 1)</f>
        <v>0.39443741425278173</v>
      </c>
      <c r="T14" s="7">
        <f>$B14 * IFERROR(VLOOKUP("LULUCF|PM25|Minor restricted activity days", US_national_yearly!$D:$AM, 28, FALSE) / VLOOKUP("LULUCF|PM25|Minor restricted activity days", US_national_yearly!$D:$AM, 10, FALSE), 1)</f>
        <v>0.39747202578948987</v>
      </c>
      <c r="U14" s="7">
        <f>$B14 * IFERROR(VLOOKUP("LULUCF|PM25|Minor restricted activity days", US_national_yearly!$D:$AM, 29, FALSE) / VLOOKUP("LULUCF|PM25|Minor restricted activity days", US_national_yearly!$D:$AM, 10, FALSE), 1)</f>
        <v>0.40050663732619801</v>
      </c>
      <c r="V14" s="7">
        <f>$B14 * IFERROR(VLOOKUP("LULUCF|PM25|Minor restricted activity days", US_national_yearly!$D:$AM, 30, FALSE) / VLOOKUP("LULUCF|PM25|Minor restricted activity days", US_national_yearly!$D:$AM, 10, FALSE), 1)</f>
        <v>0.40354124886290615</v>
      </c>
      <c r="W14" s="7">
        <f>$B14 * IFERROR(VLOOKUP("LULUCF|PM25|Minor restricted activity days", US_national_yearly!$D:$AM, 31, FALSE) / VLOOKUP("LULUCF|PM25|Minor restricted activity days", US_national_yearly!$D:$AM, 10, FALSE), 1)</f>
        <v>0.4065758603996143</v>
      </c>
      <c r="X14" s="7">
        <f>$B14 * IFERROR(VLOOKUP("LULUCF|PM25|Minor restricted activity days", US_national_yearly!$D:$AM, 32, FALSE) / VLOOKUP("LULUCF|PM25|Minor restricted activity days", US_national_yearly!$D:$AM, 10, FALSE), 1)</f>
        <v>0.40921020850120599</v>
      </c>
      <c r="Y14" s="7">
        <f>$B14 * IFERROR(VLOOKUP("LULUCF|PM25|Minor restricted activity days", US_national_yearly!$D:$AM, 33, FALSE) / VLOOKUP("LULUCF|PM25|Minor restricted activity days", US_national_yearly!$D:$AM, 10, FALSE), 1)</f>
        <v>0.41184455660279767</v>
      </c>
      <c r="Z14" s="7">
        <f>$B14 * IFERROR(VLOOKUP("LULUCF|PM25|Minor restricted activity days", US_national_yearly!$D:$AM, 34, FALSE) / VLOOKUP("LULUCF|PM25|Minor restricted activity days", US_national_yearly!$D:$AM, 10, FALSE), 1)</f>
        <v>0.41447890470438936</v>
      </c>
      <c r="AA14" s="7">
        <f>$B14 * IFERROR(VLOOKUP("LULUCF|PM25|Minor restricted activity days", US_national_yearly!$D:$AM, 35, FALSE) / VLOOKUP("LULUCF|PM25|Minor restricted activity days", US_national_yearly!$D:$AM, 10, FALSE), 1)</f>
        <v>0.41711325280598099</v>
      </c>
      <c r="AB14" s="7">
        <f>$B14 * IFERROR(VLOOKUP("LULUCF|PM25|Minor restricted activity days", US_national_yearly!$D:$AM, 36, FALSE) / VLOOKUP("LULUCF|PM25|Minor restricted activity days", US_national_yearly!$D:$AM, 10, FALSE), 1)</f>
        <v>0.41974760090757274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6.1044238435047422E-2</v>
      </c>
      <c r="C15" s="7">
        <f>$B15 * IFERROR(VLOOKUP("LULUCF|PM25|Work loss days", US_national_yearly!$D:$AM, 11, FALSE) / VLOOKUP("LULUCF|PM25|Work loss days", US_national_yearly!$D:$AM, 10, FALSE), 1)</f>
        <v>6.1233453587844162E-2</v>
      </c>
      <c r="D15" s="7">
        <f>$B15 * IFERROR(VLOOKUP("LULUCF|PM25|Work loss days", US_national_yearly!$D:$AM, 12, FALSE) / VLOOKUP("LULUCF|PM25|Work loss days", US_national_yearly!$D:$AM, 10, FALSE), 1)</f>
        <v>6.1422668740640916E-2</v>
      </c>
      <c r="E15" s="7">
        <f>$B15 * IFERROR(VLOOKUP("LULUCF|PM25|Work loss days", US_national_yearly!$D:$AM, 13, FALSE) / VLOOKUP("LULUCF|PM25|Work loss days", US_national_yearly!$D:$AM, 10, FALSE), 1)</f>
        <v>6.1611883893437656E-2</v>
      </c>
      <c r="F15" s="7">
        <f>$B15 * IFERROR(VLOOKUP("LULUCF|PM25|Work loss days", US_national_yearly!$D:$AM, 14, FALSE) / VLOOKUP("LULUCF|PM25|Work loss days", US_national_yearly!$D:$AM, 10, FALSE), 1)</f>
        <v>6.1801099046234396E-2</v>
      </c>
      <c r="G15" s="7">
        <f>$B15 * IFERROR(VLOOKUP("LULUCF|PM25|Work loss days", US_national_yearly!$D:$AM, 15, FALSE) / VLOOKUP("LULUCF|PM25|Work loss days", US_national_yearly!$D:$AM, 10, FALSE), 1)</f>
        <v>6.2049172185551303E-2</v>
      </c>
      <c r="H15" s="7">
        <f>$B15 * IFERROR(VLOOKUP("LULUCF|PM25|Work loss days", US_national_yearly!$D:$AM, 16, FALSE) / VLOOKUP("LULUCF|PM25|Work loss days", US_national_yearly!$D:$AM, 10, FALSE), 1)</f>
        <v>6.2297245324868224E-2</v>
      </c>
      <c r="I15" s="7">
        <f>$B15 * IFERROR(VLOOKUP("LULUCF|PM25|Work loss days", US_national_yearly!$D:$AM, 17, FALSE) / VLOOKUP("LULUCF|PM25|Work loss days", US_national_yearly!$D:$AM, 10, FALSE), 1)</f>
        <v>6.2662560306813747E-2</v>
      </c>
      <c r="J15" s="7">
        <f>$B15 * IFERROR(VLOOKUP("LULUCF|PM25|Work loss days", US_national_yearly!$D:$AM, 18, FALSE) / VLOOKUP("LULUCF|PM25|Work loss days", US_national_yearly!$D:$AM, 10, FALSE), 1)</f>
        <v>6.3027875288759277E-2</v>
      </c>
      <c r="K15" s="7">
        <f>$B15 * IFERROR(VLOOKUP("LULUCF|PM25|Work loss days", US_national_yearly!$D:$AM, 19, FALSE) / VLOOKUP("LULUCF|PM25|Work loss days", US_national_yearly!$D:$AM, 10, FALSE), 1)</f>
        <v>6.3393190270704794E-2</v>
      </c>
      <c r="L15" s="7">
        <f>$B15 * IFERROR(VLOOKUP("LULUCF|PM25|Work loss days", US_national_yearly!$D:$AM, 20, FALSE) / VLOOKUP("LULUCF|PM25|Work loss days", US_national_yearly!$D:$AM, 10, FALSE), 1)</f>
        <v>6.3758505252650324E-2</v>
      </c>
      <c r="M15" s="7">
        <f>$B15 * IFERROR(VLOOKUP("LULUCF|PM25|Work loss days", US_national_yearly!$D:$AM, 21, FALSE) / VLOOKUP("LULUCF|PM25|Work loss days", US_national_yearly!$D:$AM, 10, FALSE), 1)</f>
        <v>6.4123820234595841E-2</v>
      </c>
      <c r="N15" s="7">
        <f>$B15 * IFERROR(VLOOKUP("LULUCF|PM25|Work loss days", US_national_yearly!$D:$AM, 22, FALSE) / VLOOKUP("LULUCF|PM25|Work loss days", US_national_yearly!$D:$AM, 10, FALSE), 1)</f>
        <v>6.4583596789627287E-2</v>
      </c>
      <c r="O15" s="7">
        <f>$B15 * IFERROR(VLOOKUP("LULUCF|PM25|Work loss days", US_national_yearly!$D:$AM, 23, FALSE) / VLOOKUP("LULUCF|PM25|Work loss days", US_national_yearly!$D:$AM, 10, FALSE), 1)</f>
        <v>6.504337334465872E-2</v>
      </c>
      <c r="P15" s="7">
        <f>$B15 * IFERROR(VLOOKUP("LULUCF|PM25|Work loss days", US_national_yearly!$D:$AM, 24, FALSE) / VLOOKUP("LULUCF|PM25|Work loss days", US_national_yearly!$D:$AM, 10, FALSE), 1)</f>
        <v>6.5503149899690152E-2</v>
      </c>
      <c r="Q15" s="7">
        <f>$B15 * IFERROR(VLOOKUP("LULUCF|PM25|Work loss days", US_national_yearly!$D:$AM, 25, FALSE) / VLOOKUP("LULUCF|PM25|Work loss days", US_national_yearly!$D:$AM, 10, FALSE), 1)</f>
        <v>6.5962926454721585E-2</v>
      </c>
      <c r="R15" s="7">
        <f>$B15 * IFERROR(VLOOKUP("LULUCF|PM25|Work loss days", US_national_yearly!$D:$AM, 26, FALSE) / VLOOKUP("LULUCF|PM25|Work loss days", US_national_yearly!$D:$AM, 10, FALSE), 1)</f>
        <v>6.6422703009753031E-2</v>
      </c>
      <c r="S15" s="7">
        <f>$B15 * IFERROR(VLOOKUP("LULUCF|PM25|Work loss days", US_national_yearly!$D:$AM, 27, FALSE) / VLOOKUP("LULUCF|PM25|Work loss days", US_national_yearly!$D:$AM, 10, FALSE), 1)</f>
        <v>6.6931235509066586E-2</v>
      </c>
      <c r="T15" s="7">
        <f>$B15 * IFERROR(VLOOKUP("LULUCF|PM25|Work loss days", US_national_yearly!$D:$AM, 28, FALSE) / VLOOKUP("LULUCF|PM25|Work loss days", US_national_yearly!$D:$AM, 10, FALSE), 1)</f>
        <v>6.7439768008380155E-2</v>
      </c>
      <c r="U15" s="7">
        <f>$B15 * IFERROR(VLOOKUP("LULUCF|PM25|Work loss days", US_national_yearly!$D:$AM, 29, FALSE) / VLOOKUP("LULUCF|PM25|Work loss days", US_national_yearly!$D:$AM, 10, FALSE), 1)</f>
        <v>6.7948300507693696E-2</v>
      </c>
      <c r="V15" s="7">
        <f>$B15 * IFERROR(VLOOKUP("LULUCF|PM25|Work loss days", US_national_yearly!$D:$AM, 30, FALSE) / VLOOKUP("LULUCF|PM25|Work loss days", US_national_yearly!$D:$AM, 10, FALSE), 1)</f>
        <v>6.8456833007007264E-2</v>
      </c>
      <c r="W15" s="7">
        <f>$B15 * IFERROR(VLOOKUP("LULUCF|PM25|Work loss days", US_national_yearly!$D:$AM, 31, FALSE) / VLOOKUP("LULUCF|PM25|Work loss days", US_national_yearly!$D:$AM, 10, FALSE), 1)</f>
        <v>6.8965365506320819E-2</v>
      </c>
      <c r="X15" s="7">
        <f>$B15 * IFERROR(VLOOKUP("LULUCF|PM25|Work loss days", US_national_yearly!$D:$AM, 32, FALSE) / VLOOKUP("LULUCF|PM25|Work loss days", US_national_yearly!$D:$AM, 10, FALSE), 1)</f>
        <v>6.9416570986269105E-2</v>
      </c>
      <c r="Y15" s="7">
        <f>$B15 * IFERROR(VLOOKUP("LULUCF|PM25|Work loss days", US_national_yearly!$D:$AM, 33, FALSE) / VLOOKUP("LULUCF|PM25|Work loss days", US_national_yearly!$D:$AM, 10, FALSE), 1)</f>
        <v>6.9867776466217391E-2</v>
      </c>
      <c r="Z15" s="7">
        <f>$B15 * IFERROR(VLOOKUP("LULUCF|PM25|Work loss days", US_national_yearly!$D:$AM, 34, FALSE) / VLOOKUP("LULUCF|PM25|Work loss days", US_national_yearly!$D:$AM, 10, FALSE), 1)</f>
        <v>7.0318981946165704E-2</v>
      </c>
      <c r="AA15" s="7">
        <f>$B15 * IFERROR(VLOOKUP("LULUCF|PM25|Work loss days", US_national_yearly!$D:$AM, 35, FALSE) / VLOOKUP("LULUCF|PM25|Work loss days", US_national_yearly!$D:$AM, 10, FALSE), 1)</f>
        <v>7.0770187426114003E-2</v>
      </c>
      <c r="AB15" s="7">
        <f>$B15 * IFERROR(VLOOKUP("LULUCF|PM25|Work loss days", US_national_yearly!$D:$AM, 36, FALSE) / VLOOKUP("LULUCF|PM25|Work loss days", US_national_yearly!$D:$AM, 10, FALSE), 1)</f>
        <v>7.1221392906062289E-2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1.0765576077655267E-4</v>
      </c>
      <c r="C17" s="7">
        <f>$B17 * IFERROR(VLOOKUP("LULUCF|PM25|Cardiovascular hospital admissions", US_national_yearly!$D:$AM, 11, FALSE) / VLOOKUP("LULUCF|PM25|Cardiovascular hospital admissions", US_national_yearly!$D:$AM, 10, FALSE), 1)</f>
        <v>1.1087258997873272E-4</v>
      </c>
      <c r="D17" s="7">
        <f>$B17 * IFERROR(VLOOKUP("LULUCF|PM25|Cardiovascular hospital admissions", US_national_yearly!$D:$AM, 12, FALSE) / VLOOKUP("LULUCF|PM25|Cardiovascular hospital admissions", US_national_yearly!$D:$AM, 10, FALSE), 1)</f>
        <v>1.140894191809128E-4</v>
      </c>
      <c r="E17" s="7">
        <f>$B17 * IFERROR(VLOOKUP("LULUCF|PM25|Cardiovascular hospital admissions", US_national_yearly!$D:$AM, 13, FALSE) / VLOOKUP("LULUCF|PM25|Cardiovascular hospital admissions", US_national_yearly!$D:$AM, 10, FALSE), 1)</f>
        <v>1.1730624838309287E-4</v>
      </c>
      <c r="F17" s="7">
        <f>$B17 * IFERROR(VLOOKUP("LULUCF|PM25|Cardiovascular hospital admissions", US_national_yearly!$D:$AM, 14, FALSE) / VLOOKUP("LULUCF|PM25|Cardiovascular hospital admissions", US_national_yearly!$D:$AM, 10, FALSE), 1)</f>
        <v>1.2052307758527293E-4</v>
      </c>
      <c r="G17" s="7">
        <f>$B17 * IFERROR(VLOOKUP("LULUCF|PM25|Cardiovascular hospital admissions", US_national_yearly!$D:$AM, 15, FALSE) / VLOOKUP("LULUCF|PM25|Cardiovascular hospital admissions", US_national_yearly!$D:$AM, 10, FALSE), 1)</f>
        <v>1.2360422534921409E-4</v>
      </c>
      <c r="H17" s="7">
        <f>$B17 * IFERROR(VLOOKUP("LULUCF|PM25|Cardiovascular hospital admissions", US_national_yearly!$D:$AM, 16, FALSE) / VLOOKUP("LULUCF|PM25|Cardiovascular hospital admissions", US_national_yearly!$D:$AM, 10, FALSE), 1)</f>
        <v>1.2668537311315528E-4</v>
      </c>
      <c r="I17" s="7">
        <f>$B17 * IFERROR(VLOOKUP("LULUCF|PM25|Cardiovascular hospital admissions", US_national_yearly!$D:$AM, 17, FALSE) / VLOOKUP("LULUCF|PM25|Cardiovascular hospital admissions", US_national_yearly!$D:$AM, 10, FALSE), 1)</f>
        <v>1.293205398426712E-4</v>
      </c>
      <c r="J17" s="7">
        <f>$B17 * IFERROR(VLOOKUP("LULUCF|PM25|Cardiovascular hospital admissions", US_national_yearly!$D:$AM, 18, FALSE) / VLOOKUP("LULUCF|PM25|Cardiovascular hospital admissions", US_national_yearly!$D:$AM, 10, FALSE), 1)</f>
        <v>1.319557065721871E-4</v>
      </c>
      <c r="K17" s="7">
        <f>$B17 * IFERROR(VLOOKUP("LULUCF|PM25|Cardiovascular hospital admissions", US_national_yearly!$D:$AM, 19, FALSE) / VLOOKUP("LULUCF|PM25|Cardiovascular hospital admissions", US_national_yearly!$D:$AM, 10, FALSE), 1)</f>
        <v>1.3459087330170298E-4</v>
      </c>
      <c r="L17" s="7">
        <f>$B17 * IFERROR(VLOOKUP("LULUCF|PM25|Cardiovascular hospital admissions", US_national_yearly!$D:$AM, 20, FALSE) / VLOOKUP("LULUCF|PM25|Cardiovascular hospital admissions", US_national_yearly!$D:$AM, 10, FALSE), 1)</f>
        <v>1.3722604003121893E-4</v>
      </c>
      <c r="M17" s="7">
        <f>$B17 * IFERROR(VLOOKUP("LULUCF|PM25|Cardiovascular hospital admissions", US_national_yearly!$D:$AM, 21, FALSE) / VLOOKUP("LULUCF|PM25|Cardiovascular hospital admissions", US_national_yearly!$D:$AM, 10, FALSE), 1)</f>
        <v>1.3986120676073483E-4</v>
      </c>
      <c r="N17" s="7">
        <f>$B17 * IFERROR(VLOOKUP("LULUCF|PM25|Cardiovascular hospital admissions", US_national_yearly!$D:$AM, 22, FALSE) / VLOOKUP("LULUCF|PM25|Cardiovascular hospital admissions", US_national_yearly!$D:$AM, 10, FALSE), 1)</f>
        <v>1.4161813258367254E-4</v>
      </c>
      <c r="O17" s="7">
        <f>$B17 * IFERROR(VLOOKUP("LULUCF|PM25|Cardiovascular hospital admissions", US_national_yearly!$D:$AM, 23, FALSE) / VLOOKUP("LULUCF|PM25|Cardiovascular hospital admissions", US_national_yearly!$D:$AM, 10, FALSE), 1)</f>
        <v>1.4337505840661025E-4</v>
      </c>
      <c r="P17" s="7">
        <f>$B17 * IFERROR(VLOOKUP("LULUCF|PM25|Cardiovascular hospital admissions", US_national_yearly!$D:$AM, 24, FALSE) / VLOOKUP("LULUCF|PM25|Cardiovascular hospital admissions", US_national_yearly!$D:$AM, 10, FALSE), 1)</f>
        <v>1.4513198422954796E-4</v>
      </c>
      <c r="Q17" s="7">
        <f>$B17 * IFERROR(VLOOKUP("LULUCF|PM25|Cardiovascular hospital admissions", US_national_yearly!$D:$AM, 25, FALSE) / VLOOKUP("LULUCF|PM25|Cardiovascular hospital admissions", US_national_yearly!$D:$AM, 10, FALSE), 1)</f>
        <v>1.4688891005248567E-4</v>
      </c>
      <c r="R17" s="7">
        <f>$B17 * IFERROR(VLOOKUP("LULUCF|PM25|Cardiovascular hospital admissions", US_national_yearly!$D:$AM, 26, FALSE) / VLOOKUP("LULUCF|PM25|Cardiovascular hospital admissions", US_national_yearly!$D:$AM, 10, FALSE), 1)</f>
        <v>1.4864583587542339E-4</v>
      </c>
      <c r="S17" s="7">
        <f>$B17 * IFERROR(VLOOKUP("LULUCF|PM25|Cardiovascular hospital admissions", US_national_yearly!$D:$AM, 27, FALSE) / VLOOKUP("LULUCF|PM25|Cardiovascular hospital admissions", US_national_yearly!$D:$AM, 10, FALSE), 1)</f>
        <v>1.4957541366422998E-4</v>
      </c>
      <c r="T17" s="7">
        <f>$B17 * IFERROR(VLOOKUP("LULUCF|PM25|Cardiovascular hospital admissions", US_national_yearly!$D:$AM, 28, FALSE) / VLOOKUP("LULUCF|PM25|Cardiovascular hospital admissions", US_national_yearly!$D:$AM, 10, FALSE), 1)</f>
        <v>1.5050499145303654E-4</v>
      </c>
      <c r="U17" s="7">
        <f>$B17 * IFERROR(VLOOKUP("LULUCF|PM25|Cardiovascular hospital admissions", US_national_yearly!$D:$AM, 29, FALSE) / VLOOKUP("LULUCF|PM25|Cardiovascular hospital admissions", US_national_yearly!$D:$AM, 10, FALSE), 1)</f>
        <v>1.514345692418431E-4</v>
      </c>
      <c r="V17" s="7">
        <f>$B17 * IFERROR(VLOOKUP("LULUCF|PM25|Cardiovascular hospital admissions", US_national_yearly!$D:$AM, 30, FALSE) / VLOOKUP("LULUCF|PM25|Cardiovascular hospital admissions", US_national_yearly!$D:$AM, 10, FALSE), 1)</f>
        <v>1.5236414703064967E-4</v>
      </c>
      <c r="W17" s="7">
        <f>$B17 * IFERROR(VLOOKUP("LULUCF|PM25|Cardiovascular hospital admissions", US_national_yearly!$D:$AM, 31, FALSE) / VLOOKUP("LULUCF|PM25|Cardiovascular hospital admissions", US_national_yearly!$D:$AM, 10, FALSE), 1)</f>
        <v>1.5329372481945623E-4</v>
      </c>
      <c r="X17" s="7">
        <f>$B17 * IFERROR(VLOOKUP("LULUCF|PM25|Cardiovascular hospital admissions", US_national_yearly!$D:$AM, 32, FALSE) / VLOOKUP("LULUCF|PM25|Cardiovascular hospital admissions", US_national_yearly!$D:$AM, 10, FALSE), 1)</f>
        <v>1.5391952881451927E-4</v>
      </c>
      <c r="Y17" s="7">
        <f>$B17 * IFERROR(VLOOKUP("LULUCF|PM25|Cardiovascular hospital admissions", US_national_yearly!$D:$AM, 33, FALSE) / VLOOKUP("LULUCF|PM25|Cardiovascular hospital admissions", US_national_yearly!$D:$AM, 10, FALSE), 1)</f>
        <v>1.5454533280958232E-4</v>
      </c>
      <c r="Z17" s="7">
        <f>$B17 * IFERROR(VLOOKUP("LULUCF|PM25|Cardiovascular hospital admissions", US_national_yearly!$D:$AM, 34, FALSE) / VLOOKUP("LULUCF|PM25|Cardiovascular hospital admissions", US_national_yearly!$D:$AM, 10, FALSE), 1)</f>
        <v>1.5517113680464534E-4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1.5579694079970838E-4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1.5642274479477143E-4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1.0115354655992389E-3</v>
      </c>
      <c r="C2" s="7">
        <f>$B2 * IFERROR(VLOOKUP("LULUCF|NOx|Premature mortality", US_national_yearly!$D:$AM, 11, FALSE) / VLOOKUP("LULUCF|NOx|Premature mortality", US_national_yearly!$D:$AM, 10, FALSE), 1)</f>
        <v>1.0263932118377605E-3</v>
      </c>
      <c r="D2" s="7">
        <f>$B2 * IFERROR(VLOOKUP("LULUCF|NOx|Premature mortality", US_national_yearly!$D:$AM, 12, FALSE) / VLOOKUP("LULUCF|NOx|Premature mortality", US_national_yearly!$D:$AM, 10, FALSE), 1)</f>
        <v>1.0412509580762818E-3</v>
      </c>
      <c r="E2" s="7">
        <f>$B2 * IFERROR(VLOOKUP("LULUCF|NOx|Premature mortality", US_national_yearly!$D:$AM, 13, FALSE) / VLOOKUP("LULUCF|NOx|Premature mortality", US_national_yearly!$D:$AM, 10, FALSE), 1)</f>
        <v>1.0561087043148031E-3</v>
      </c>
      <c r="F2" s="7">
        <f>$B2 * IFERROR(VLOOKUP("LULUCF|NOx|Premature mortality", US_national_yearly!$D:$AM, 14, FALSE) / VLOOKUP("LULUCF|NOx|Premature mortality", US_national_yearly!$D:$AM, 10, FALSE), 1)</f>
        <v>1.0709664505533247E-3</v>
      </c>
      <c r="G2" s="7">
        <f>$B2 * IFERROR(VLOOKUP("LULUCF|NOx|Premature mortality", US_national_yearly!$D:$AM, 15, FALSE) / VLOOKUP("LULUCF|NOx|Premature mortality", US_national_yearly!$D:$AM, 10, FALSE), 1)</f>
        <v>1.0976544755285419E-3</v>
      </c>
      <c r="H2" s="7">
        <f>$B2 * IFERROR(VLOOKUP("LULUCF|NOx|Premature mortality", US_national_yearly!$D:$AM, 16, FALSE) / VLOOKUP("LULUCF|NOx|Premature mortality", US_national_yearly!$D:$AM, 10, FALSE), 1)</f>
        <v>1.1243425005037593E-3</v>
      </c>
      <c r="I2" s="7">
        <f>$B2 * IFERROR(VLOOKUP("LULUCF|NOx|Premature mortality", US_national_yearly!$D:$AM, 17, FALSE) / VLOOKUP("LULUCF|NOx|Premature mortality", US_national_yearly!$D:$AM, 10, FALSE), 1)</f>
        <v>1.1415701268606665E-3</v>
      </c>
      <c r="J2" s="7">
        <f>$B2 * IFERROR(VLOOKUP("LULUCF|NOx|Premature mortality", US_national_yearly!$D:$AM, 18, FALSE) / VLOOKUP("LULUCF|NOx|Premature mortality", US_national_yearly!$D:$AM, 10, FALSE), 1)</f>
        <v>1.1587977532175739E-3</v>
      </c>
      <c r="K2" s="7">
        <f>$B2 * IFERROR(VLOOKUP("LULUCF|NOx|Premature mortality", US_national_yearly!$D:$AM, 19, FALSE) / VLOOKUP("LULUCF|NOx|Premature mortality", US_national_yearly!$D:$AM, 10, FALSE), 1)</f>
        <v>1.176025379574481E-3</v>
      </c>
      <c r="L2" s="7">
        <f>$B2 * IFERROR(VLOOKUP("LULUCF|NOx|Premature mortality", US_national_yearly!$D:$AM, 20, FALSE) / VLOOKUP("LULUCF|NOx|Premature mortality", US_national_yearly!$D:$AM, 10, FALSE), 1)</f>
        <v>1.1932530059313882E-3</v>
      </c>
      <c r="M2" s="7">
        <f>$B2 * IFERROR(VLOOKUP("LULUCF|NOx|Premature mortality", US_national_yearly!$D:$AM, 21, FALSE) / VLOOKUP("LULUCF|NOx|Premature mortality", US_national_yearly!$D:$AM, 10, FALSE), 1)</f>
        <v>1.2104806322882956E-3</v>
      </c>
      <c r="N2" s="7">
        <f>$B2 * IFERROR(VLOOKUP("LULUCF|NOx|Premature mortality", US_national_yearly!$D:$AM, 22, FALSE) / VLOOKUP("LULUCF|NOx|Premature mortality", US_national_yearly!$D:$AM, 10, FALSE), 1)</f>
        <v>1.2232427909203421E-3</v>
      </c>
      <c r="O2" s="7">
        <f>$B2 * IFERROR(VLOOKUP("LULUCF|NOx|Premature mortality", US_national_yearly!$D:$AM, 23, FALSE) / VLOOKUP("LULUCF|NOx|Premature mortality", US_national_yearly!$D:$AM, 10, FALSE), 1)</f>
        <v>1.2360049495523887E-3</v>
      </c>
      <c r="P2" s="7">
        <f>$B2 * IFERROR(VLOOKUP("LULUCF|NOx|Premature mortality", US_national_yearly!$D:$AM, 24, FALSE) / VLOOKUP("LULUCF|NOx|Premature mortality", US_national_yearly!$D:$AM, 10, FALSE), 1)</f>
        <v>1.2487671081844352E-3</v>
      </c>
      <c r="Q2" s="7">
        <f>$B2 * IFERROR(VLOOKUP("LULUCF|NOx|Premature mortality", US_national_yearly!$D:$AM, 25, FALSE) / VLOOKUP("LULUCF|NOx|Premature mortality", US_national_yearly!$D:$AM, 10, FALSE), 1)</f>
        <v>1.2615292668164821E-3</v>
      </c>
      <c r="R2" s="7">
        <f>$B2 * IFERROR(VLOOKUP("LULUCF|NOx|Premature mortality", US_national_yearly!$D:$AM, 26, FALSE) / VLOOKUP("LULUCF|NOx|Premature mortality", US_national_yearly!$D:$AM, 10, FALSE), 1)</f>
        <v>1.2742914254485285E-3</v>
      </c>
      <c r="S2" s="7">
        <f>$B2 * IFERROR(VLOOKUP("LULUCF|NOx|Premature mortality", US_national_yearly!$D:$AM, 27, FALSE) / VLOOKUP("LULUCF|NOx|Premature mortality", US_national_yearly!$D:$AM, 10, FALSE), 1)</f>
        <v>1.2800919550600234E-3</v>
      </c>
      <c r="T2" s="7">
        <f>$B2 * IFERROR(VLOOKUP("LULUCF|NOx|Premature mortality", US_national_yearly!$D:$AM, 28, FALSE) / VLOOKUP("LULUCF|NOx|Premature mortality", US_national_yearly!$D:$AM, 10, FALSE), 1)</f>
        <v>1.2858924846715183E-3</v>
      </c>
      <c r="U2" s="7">
        <f>$B2 * IFERROR(VLOOKUP("LULUCF|NOx|Premature mortality", US_national_yearly!$D:$AM, 29, FALSE) / VLOOKUP("LULUCF|NOx|Premature mortality", US_national_yearly!$D:$AM, 10, FALSE), 1)</f>
        <v>1.2916930142830131E-3</v>
      </c>
      <c r="V2" s="7">
        <f>$B2 * IFERROR(VLOOKUP("LULUCF|NOx|Premature mortality", US_national_yearly!$D:$AM, 30, FALSE) / VLOOKUP("LULUCF|NOx|Premature mortality", US_national_yearly!$D:$AM, 10, FALSE), 1)</f>
        <v>1.2974935438945078E-3</v>
      </c>
      <c r="W2" s="7">
        <f>$B2 * IFERROR(VLOOKUP("LULUCF|NOx|Premature mortality", US_national_yearly!$D:$AM, 31, FALSE) / VLOOKUP("LULUCF|NOx|Premature mortality", US_national_yearly!$D:$AM, 10, FALSE), 1)</f>
        <v>1.3032940735060027E-3</v>
      </c>
      <c r="X2" s="7">
        <f>$B2 * IFERROR(VLOOKUP("LULUCF|NOx|Premature mortality", US_national_yearly!$D:$AM, 32, FALSE) / VLOOKUP("LULUCF|NOx|Premature mortality", US_national_yearly!$D:$AM, 10, FALSE), 1)</f>
        <v>1.3034950005222142E-3</v>
      </c>
      <c r="Y2" s="7">
        <f>$B2 * IFERROR(VLOOKUP("LULUCF|NOx|Premature mortality", US_national_yearly!$D:$AM, 33, FALSE) / VLOOKUP("LULUCF|NOx|Premature mortality", US_national_yearly!$D:$AM, 10, FALSE), 1)</f>
        <v>1.303695927538426E-3</v>
      </c>
      <c r="Z2" s="7">
        <f>$B2 * IFERROR(VLOOKUP("LULUCF|NOx|Premature mortality", US_national_yearly!$D:$AM, 34, FALSE) / VLOOKUP("LULUCF|NOx|Premature mortality", US_national_yearly!$D:$AM, 10, FALSE), 1)</f>
        <v>1.3038968545546373E-3</v>
      </c>
      <c r="AA2" s="7">
        <f>$B2 * IFERROR(VLOOKUP("LULUCF|NOx|Premature mortality", US_national_yearly!$D:$AM, 35, FALSE) / VLOOKUP("LULUCF|NOx|Premature mortality", US_national_yearly!$D:$AM, 10, FALSE), 1)</f>
        <v>1.304097781570849E-3</v>
      </c>
      <c r="AB2" s="7">
        <f>$B2 * IFERROR(VLOOKUP("LULUCF|NOx|Premature mortality", US_national_yearly!$D:$AM, 36, FALSE) / VLOOKUP("LULUCF|NOx|Premature mortality", US_national_yearly!$D:$AM, 10, FALSE), 1)</f>
        <v>1.3042987085870605E-3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2.045069368979649E-6</v>
      </c>
      <c r="C3" s="7">
        <f>$B3 * IFERROR(VLOOKUP("LULUCF|NOx|Infant mortality", US_national_yearly!$D:$AM, 11, FALSE) / VLOOKUP("LULUCF|NOx|Infant mortality", US_national_yearly!$D:$AM, 10, FALSE), 1)</f>
        <v>2.0255848720710359E-6</v>
      </c>
      <c r="D3" s="7">
        <f>$B3 * IFERROR(VLOOKUP("LULUCF|NOx|Infant mortality", US_national_yearly!$D:$AM, 12, FALSE) / VLOOKUP("LULUCF|NOx|Infant mortality", US_national_yearly!$D:$AM, 10, FALSE), 1)</f>
        <v>2.0061003751624223E-6</v>
      </c>
      <c r="E3" s="7">
        <f>$B3 * IFERROR(VLOOKUP("LULUCF|NOx|Infant mortality", US_national_yearly!$D:$AM, 13, FALSE) / VLOOKUP("LULUCF|NOx|Infant mortality", US_national_yearly!$D:$AM, 10, FALSE), 1)</f>
        <v>1.9866158782538091E-6</v>
      </c>
      <c r="F3" s="7">
        <f>$B3 * IFERROR(VLOOKUP("LULUCF|NOx|Infant mortality", US_national_yearly!$D:$AM, 14, FALSE) / VLOOKUP("LULUCF|NOx|Infant mortality", US_national_yearly!$D:$AM, 10, FALSE), 1)</f>
        <v>1.967131381345196E-6</v>
      </c>
      <c r="G3" s="7">
        <f>$B3 * IFERROR(VLOOKUP("LULUCF|NOx|Infant mortality", US_national_yearly!$D:$AM, 15, FALSE) / VLOOKUP("LULUCF|NOx|Infant mortality", US_national_yearly!$D:$AM, 10, FALSE), 1)</f>
        <v>1.3058789498175418E-6</v>
      </c>
      <c r="H3" s="7">
        <f>$B3 * IFERROR(VLOOKUP("LULUCF|NOx|Infant mortality", US_national_yearly!$D:$AM, 16, FALSE) / VLOOKUP("LULUCF|NOx|Infant mortality", US_national_yearly!$D:$AM, 10, FALSE), 1)</f>
        <v>6.4462651828988781E-7</v>
      </c>
      <c r="I3" s="7">
        <f>$B3 * IFERROR(VLOOKUP("LULUCF|NOx|Infant mortality", US_national_yearly!$D:$AM, 17, FALSE) / VLOOKUP("LULUCF|NOx|Infant mortality", US_national_yearly!$D:$AM, 10, FALSE), 1)</f>
        <v>6.4006839331367052E-7</v>
      </c>
      <c r="J3" s="7">
        <f>$B3 * IFERROR(VLOOKUP("LULUCF|NOx|Infant mortality", US_national_yearly!$D:$AM, 18, FALSE) / VLOOKUP("LULUCF|NOx|Infant mortality", US_national_yearly!$D:$AM, 10, FALSE), 1)</f>
        <v>6.3551026833745313E-7</v>
      </c>
      <c r="K3" s="7">
        <f>$B3 * IFERROR(VLOOKUP("LULUCF|NOx|Infant mortality", US_national_yearly!$D:$AM, 19, FALSE) / VLOOKUP("LULUCF|NOx|Infant mortality", US_national_yearly!$D:$AM, 10, FALSE), 1)</f>
        <v>6.3095214336123585E-7</v>
      </c>
      <c r="L3" s="7">
        <f>$B3 * IFERROR(VLOOKUP("LULUCF|NOx|Infant mortality", US_national_yearly!$D:$AM, 20, FALSE) / VLOOKUP("LULUCF|NOx|Infant mortality", US_national_yearly!$D:$AM, 10, FALSE), 1)</f>
        <v>6.2639401838501856E-7</v>
      </c>
      <c r="M3" s="7">
        <f>$B3 * IFERROR(VLOOKUP("LULUCF|NOx|Infant mortality", US_national_yearly!$D:$AM, 21, FALSE) / VLOOKUP("LULUCF|NOx|Infant mortality", US_national_yearly!$D:$AM, 10, FALSE), 1)</f>
        <v>6.2183589340880117E-7</v>
      </c>
      <c r="N3" s="7">
        <f>$B3 * IFERROR(VLOOKUP("LULUCF|NOx|Infant mortality", US_national_yearly!$D:$AM, 22, FALSE) / VLOOKUP("LULUCF|NOx|Infant mortality", US_national_yearly!$D:$AM, 10, FALSE), 1)</f>
        <v>6.1881040063611861E-7</v>
      </c>
      <c r="O3" s="7">
        <f>$B3 * IFERROR(VLOOKUP("LULUCF|NOx|Infant mortality", US_national_yearly!$D:$AM, 23, FALSE) / VLOOKUP("LULUCF|NOx|Infant mortality", US_national_yearly!$D:$AM, 10, FALSE), 1)</f>
        <v>6.1578490786343604E-7</v>
      </c>
      <c r="P3" s="7">
        <f>$B3 * IFERROR(VLOOKUP("LULUCF|NOx|Infant mortality", US_national_yearly!$D:$AM, 24, FALSE) / VLOOKUP("LULUCF|NOx|Infant mortality", US_national_yearly!$D:$AM, 10, FALSE), 1)</f>
        <v>6.1275941509075348E-7</v>
      </c>
      <c r="Q3" s="7">
        <f>$B3 * IFERROR(VLOOKUP("LULUCF|NOx|Infant mortality", US_national_yearly!$D:$AM, 25, FALSE) / VLOOKUP("LULUCF|NOx|Infant mortality", US_national_yearly!$D:$AM, 10, FALSE), 1)</f>
        <v>6.0973392231807091E-7</v>
      </c>
      <c r="R3" s="7">
        <f>$B3 * IFERROR(VLOOKUP("LULUCF|NOx|Infant mortality", US_national_yearly!$D:$AM, 26, FALSE) / VLOOKUP("LULUCF|NOx|Infant mortality", US_national_yearly!$D:$AM, 10, FALSE), 1)</f>
        <v>6.0670842954538835E-7</v>
      </c>
      <c r="S3" s="7">
        <f>$B3 * IFERROR(VLOOKUP("LULUCF|NOx|Infant mortality", US_national_yearly!$D:$AM, 27, FALSE) / VLOOKUP("LULUCF|NOx|Infant mortality", US_national_yearly!$D:$AM, 10, FALSE), 1)</f>
        <v>6.0307130610718851E-7</v>
      </c>
      <c r="T3" s="7">
        <f>$B3 * IFERROR(VLOOKUP("LULUCF|NOx|Infant mortality", US_national_yearly!$D:$AM, 28, FALSE) / VLOOKUP("LULUCF|NOx|Infant mortality", US_national_yearly!$D:$AM, 10, FALSE), 1)</f>
        <v>5.9943418266898857E-7</v>
      </c>
      <c r="U3" s="7">
        <f>$B3 * IFERROR(VLOOKUP("LULUCF|NOx|Infant mortality", US_national_yearly!$D:$AM, 29, FALSE) / VLOOKUP("LULUCF|NOx|Infant mortality", US_national_yearly!$D:$AM, 10, FALSE), 1)</f>
        <v>5.9579705923078863E-7</v>
      </c>
      <c r="V3" s="7">
        <f>$B3 * IFERROR(VLOOKUP("LULUCF|NOx|Infant mortality", US_national_yearly!$D:$AM, 30, FALSE) / VLOOKUP("LULUCF|NOx|Infant mortality", US_national_yearly!$D:$AM, 10, FALSE), 1)</f>
        <v>5.9215993579258869E-7</v>
      </c>
      <c r="W3" s="7">
        <f>$B3 * IFERROR(VLOOKUP("LULUCF|NOx|Infant mortality", US_national_yearly!$D:$AM, 31, FALSE) / VLOOKUP("LULUCF|NOx|Infant mortality", US_national_yearly!$D:$AM, 10, FALSE), 1)</f>
        <v>5.8852281235438875E-7</v>
      </c>
      <c r="X3" s="7">
        <f>$B3 * IFERROR(VLOOKUP("LULUCF|NOx|Infant mortality", US_national_yearly!$D:$AM, 32, FALSE) / VLOOKUP("LULUCF|NOx|Infant mortality", US_national_yearly!$D:$AM, 10, FALSE), 1)</f>
        <v>5.8467092274922422E-7</v>
      </c>
      <c r="Y3" s="7">
        <f>$B3 * IFERROR(VLOOKUP("LULUCF|NOx|Infant mortality", US_national_yearly!$D:$AM, 33, FALSE) / VLOOKUP("LULUCF|NOx|Infant mortality", US_national_yearly!$D:$AM, 10, FALSE), 1)</f>
        <v>5.8081903314405957E-7</v>
      </c>
      <c r="Z3" s="7">
        <f>$B3 * IFERROR(VLOOKUP("LULUCF|NOx|Infant mortality", US_national_yearly!$D:$AM, 34, FALSE) / VLOOKUP("LULUCF|NOx|Infant mortality", US_national_yearly!$D:$AM, 10, FALSE), 1)</f>
        <v>5.7696714353889504E-7</v>
      </c>
      <c r="AA3" s="7">
        <f>$B3 * IFERROR(VLOOKUP("LULUCF|NOx|Infant mortality", US_national_yearly!$D:$AM, 35, FALSE) / VLOOKUP("LULUCF|NOx|Infant mortality", US_national_yearly!$D:$AM, 10, FALSE), 1)</f>
        <v>5.7311525393373039E-7</v>
      </c>
      <c r="AB3" s="7">
        <f>$B3 * IFERROR(VLOOKUP("LULUCF|NOx|Infant mortality", US_national_yearly!$D:$AM, 36, FALSE) / VLOOKUP("LULUCF|NOx|Infant mortality", US_national_yearly!$D:$AM, 10, FALSE), 1)</f>
        <v>5.6926336432856575E-7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2.6061258444251985E-3</v>
      </c>
      <c r="C6" s="7">
        <f>$B6 * IFERROR(VLOOKUP("LULUCF|NOx|Asthma symptoms cough", US_national_yearly!$D:$AM, 11, FALSE) / VLOOKUP("LULUCF|NOx|Asthma symptoms cough", US_national_yearly!$D:$AM, 10, FALSE), 1)</f>
        <v>2.6417558455655824E-3</v>
      </c>
      <c r="D6" s="7">
        <f>$B6 * IFERROR(VLOOKUP("LULUCF|NOx|Asthma symptoms cough", US_national_yearly!$D:$AM, 12, FALSE) / VLOOKUP("LULUCF|NOx|Asthma symptoms cough", US_national_yearly!$D:$AM, 10, FALSE), 1)</f>
        <v>2.6773858467059666E-3</v>
      </c>
      <c r="E6" s="7">
        <f>$B6 * IFERROR(VLOOKUP("LULUCF|NOx|Asthma symptoms cough", US_national_yearly!$D:$AM, 13, FALSE) / VLOOKUP("LULUCF|NOx|Asthma symptoms cough", US_national_yearly!$D:$AM, 10, FALSE), 1)</f>
        <v>2.7130158478463505E-3</v>
      </c>
      <c r="F6" s="7">
        <f>$B6 * IFERROR(VLOOKUP("LULUCF|NOx|Asthma symptoms cough", US_national_yearly!$D:$AM, 14, FALSE) / VLOOKUP("LULUCF|NOx|Asthma symptoms cough", US_national_yearly!$D:$AM, 10, FALSE), 1)</f>
        <v>2.7486458489867347E-3</v>
      </c>
      <c r="G6" s="7">
        <f>$B6 * IFERROR(VLOOKUP("LULUCF|NOx|Asthma symptoms cough", US_national_yearly!$D:$AM, 15, FALSE) / VLOOKUP("LULUCF|NOx|Asthma symptoms cough", US_national_yearly!$D:$AM, 10, FALSE), 1)</f>
        <v>2.7770914259410478E-3</v>
      </c>
      <c r="H6" s="7">
        <f>$B6 * IFERROR(VLOOKUP("LULUCF|NOx|Asthma symptoms cough", US_national_yearly!$D:$AM, 16, FALSE) / VLOOKUP("LULUCF|NOx|Asthma symptoms cough", US_national_yearly!$D:$AM, 10, FALSE), 1)</f>
        <v>2.8055370028953618E-3</v>
      </c>
      <c r="I6" s="7">
        <f>$B6 * IFERROR(VLOOKUP("LULUCF|NOx|Asthma symptoms cough", US_national_yearly!$D:$AM, 17, FALSE) / VLOOKUP("LULUCF|NOx|Asthma symptoms cough", US_national_yearly!$D:$AM, 10, FALSE), 1)</f>
        <v>2.8153275638321427E-3</v>
      </c>
      <c r="J6" s="7">
        <f>$B6 * IFERROR(VLOOKUP("LULUCF|NOx|Asthma symptoms cough", US_national_yearly!$D:$AM, 18, FALSE) / VLOOKUP("LULUCF|NOx|Asthma symptoms cough", US_national_yearly!$D:$AM, 10, FALSE), 1)</f>
        <v>2.8251181247689237E-3</v>
      </c>
      <c r="K6" s="7">
        <f>$B6 * IFERROR(VLOOKUP("LULUCF|NOx|Asthma symptoms cough", US_national_yearly!$D:$AM, 19, FALSE) / VLOOKUP("LULUCF|NOx|Asthma symptoms cough", US_national_yearly!$D:$AM, 10, FALSE), 1)</f>
        <v>2.8349086857057046E-3</v>
      </c>
      <c r="L6" s="7">
        <f>$B6 * IFERROR(VLOOKUP("LULUCF|NOx|Asthma symptoms cough", US_national_yearly!$D:$AM, 20, FALSE) / VLOOKUP("LULUCF|NOx|Asthma symptoms cough", US_national_yearly!$D:$AM, 10, FALSE), 1)</f>
        <v>2.8446992466424851E-3</v>
      </c>
      <c r="M6" s="7">
        <f>$B6 * IFERROR(VLOOKUP("LULUCF|NOx|Asthma symptoms cough", US_national_yearly!$D:$AM, 21, FALSE) / VLOOKUP("LULUCF|NOx|Asthma symptoms cough", US_national_yearly!$D:$AM, 10, FALSE), 1)</f>
        <v>2.8544898075792665E-3</v>
      </c>
      <c r="N6" s="7">
        <f>$B6 * IFERROR(VLOOKUP("LULUCF|NOx|Asthma symptoms cough", US_national_yearly!$D:$AM, 22, FALSE) / VLOOKUP("LULUCF|NOx|Asthma symptoms cough", US_national_yearly!$D:$AM, 10, FALSE), 1)</f>
        <v>2.8658426920618045E-3</v>
      </c>
      <c r="O6" s="7">
        <f>$B6 * IFERROR(VLOOKUP("LULUCF|NOx|Asthma symptoms cough", US_national_yearly!$D:$AM, 23, FALSE) / VLOOKUP("LULUCF|NOx|Asthma symptoms cough", US_national_yearly!$D:$AM, 10, FALSE), 1)</f>
        <v>2.877195576544343E-3</v>
      </c>
      <c r="P6" s="7">
        <f>$B6 * IFERROR(VLOOKUP("LULUCF|NOx|Asthma symptoms cough", US_national_yearly!$D:$AM, 24, FALSE) / VLOOKUP("LULUCF|NOx|Asthma symptoms cough", US_national_yearly!$D:$AM, 10, FALSE), 1)</f>
        <v>2.8885484610268811E-3</v>
      </c>
      <c r="Q6" s="7">
        <f>$B6 * IFERROR(VLOOKUP("LULUCF|NOx|Asthma symptoms cough", US_national_yearly!$D:$AM, 25, FALSE) / VLOOKUP("LULUCF|NOx|Asthma symptoms cough", US_national_yearly!$D:$AM, 10, FALSE), 1)</f>
        <v>2.89990134550942E-3</v>
      </c>
      <c r="R6" s="7">
        <f>$B6 * IFERROR(VLOOKUP("LULUCF|NOx|Asthma symptoms cough", US_national_yearly!$D:$AM, 26, FALSE) / VLOOKUP("LULUCF|NOx|Asthma symptoms cough", US_national_yearly!$D:$AM, 10, FALSE), 1)</f>
        <v>2.9112542299919585E-3</v>
      </c>
      <c r="S6" s="7">
        <f>$B6 * IFERROR(VLOOKUP("LULUCF|NOx|Asthma symptoms cough", US_national_yearly!$D:$AM, 27, FALSE) / VLOOKUP("LULUCF|NOx|Asthma symptoms cough", US_national_yearly!$D:$AM, 10, FALSE), 1)</f>
        <v>2.926084712993068E-3</v>
      </c>
      <c r="T6" s="7">
        <f>$B6 * IFERROR(VLOOKUP("LULUCF|NOx|Asthma symptoms cough", US_national_yearly!$D:$AM, 28, FALSE) / VLOOKUP("LULUCF|NOx|Asthma symptoms cough", US_national_yearly!$D:$AM, 10, FALSE), 1)</f>
        <v>2.9409151959941767E-3</v>
      </c>
      <c r="U6" s="7">
        <f>$B6 * IFERROR(VLOOKUP("LULUCF|NOx|Asthma symptoms cough", US_national_yearly!$D:$AM, 29, FALSE) / VLOOKUP("LULUCF|NOx|Asthma symptoms cough", US_national_yearly!$D:$AM, 10, FALSE), 1)</f>
        <v>2.955745678995285E-3</v>
      </c>
      <c r="V6" s="7">
        <f>$B6 * IFERROR(VLOOKUP("LULUCF|NOx|Asthma symptoms cough", US_national_yearly!$D:$AM, 30, FALSE) / VLOOKUP("LULUCF|NOx|Asthma symptoms cough", US_national_yearly!$D:$AM, 10, FALSE), 1)</f>
        <v>2.9705761619963945E-3</v>
      </c>
      <c r="W6" s="7">
        <f>$B6 * IFERROR(VLOOKUP("LULUCF|NOx|Asthma symptoms cough", US_national_yearly!$D:$AM, 31, FALSE) / VLOOKUP("LULUCF|NOx|Asthma symptoms cough", US_national_yearly!$D:$AM, 10, FALSE), 1)</f>
        <v>2.9854066449975037E-3</v>
      </c>
      <c r="X6" s="7">
        <f>$B6 * IFERROR(VLOOKUP("LULUCF|NOx|Asthma symptoms cough", US_national_yearly!$D:$AM, 32, FALSE) / VLOOKUP("LULUCF|NOx|Asthma symptoms cough", US_national_yearly!$D:$AM, 10, FALSE), 1)</f>
        <v>2.9991862946316065E-3</v>
      </c>
      <c r="Y6" s="7">
        <f>$B6 * IFERROR(VLOOKUP("LULUCF|NOx|Asthma symptoms cough", US_national_yearly!$D:$AM, 33, FALSE) / VLOOKUP("LULUCF|NOx|Asthma symptoms cough", US_national_yearly!$D:$AM, 10, FALSE), 1)</f>
        <v>3.0129659442657093E-3</v>
      </c>
      <c r="Z6" s="7">
        <f>$B6 * IFERROR(VLOOKUP("LULUCF|NOx|Asthma symptoms cough", US_national_yearly!$D:$AM, 34, FALSE) / VLOOKUP("LULUCF|NOx|Asthma symptoms cough", US_national_yearly!$D:$AM, 10, FALSE), 1)</f>
        <v>3.0267455938998121E-3</v>
      </c>
      <c r="AA6" s="7">
        <f>$B6 * IFERROR(VLOOKUP("LULUCF|NOx|Asthma symptoms cough", US_national_yearly!$D:$AM, 35, FALSE) / VLOOKUP("LULUCF|NOx|Asthma symptoms cough", US_national_yearly!$D:$AM, 10, FALSE), 1)</f>
        <v>3.0405252435339149E-3</v>
      </c>
      <c r="AB6" s="7">
        <f>$B6 * IFERROR(VLOOKUP("LULUCF|NOx|Asthma symptoms cough", US_national_yearly!$D:$AM, 36, FALSE) / VLOOKUP("LULUCF|NOx|Asthma symptoms cough", US_national_yearly!$D:$AM, 10, FALSE), 1)</f>
        <v>3.0543048931680182E-3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3.5095180846579856E-3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3.5574989346726627E-3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3.605479784687339E-3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3.6534606347020161E-3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3.7014414847166932E-3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3.7397474885493224E-3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3.7780534923819516E-3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3.7912378712223948E-3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3.8044222500628385E-3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3.8176066289032817E-3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3.8307910077437254E-3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3.8439753865841687E-3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3.8592636557061096E-3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3.8745519248280505E-3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3.8898401939499905E-3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3.9051284630719314E-3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3.9204167321938719E-3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3.9403880810007282E-3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3.9603594298075855E-3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3.9803307786144418E-3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4.0003021274212973E-3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4.0202734762281537E-3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4.0388297288516881E-3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4.0573859814752216E-3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4.0759422340987568E-3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4.0944984867222903E-3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4.1130547393458247E-3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5.3619792634888308E-3</v>
      </c>
      <c r="C8" s="7">
        <f>$B8 * IFERROR(VLOOKUP("LULUCF|NOx|Asthma symptoms wheeze", US_national_yearly!$D:$AM, 11, FALSE) / VLOOKUP("LULUCF|NOx|Asthma symptoms wheeze", US_national_yearly!$D:$AM, 10, FALSE), 1)</f>
        <v>5.435286286610887E-3</v>
      </c>
      <c r="D8" s="7">
        <f>$B8 * IFERROR(VLOOKUP("LULUCF|NOx|Asthma symptoms wheeze", US_national_yearly!$D:$AM, 12, FALSE) / VLOOKUP("LULUCF|NOx|Asthma symptoms wheeze", US_national_yearly!$D:$AM, 10, FALSE), 1)</f>
        <v>5.5085933097329459E-3</v>
      </c>
      <c r="E8" s="7">
        <f>$B8 * IFERROR(VLOOKUP("LULUCF|NOx|Asthma symptoms wheeze", US_national_yearly!$D:$AM, 13, FALSE) / VLOOKUP("LULUCF|NOx|Asthma symptoms wheeze", US_national_yearly!$D:$AM, 10, FALSE), 1)</f>
        <v>5.5819003328550021E-3</v>
      </c>
      <c r="F8" s="7">
        <f>$B8 * IFERROR(VLOOKUP("LULUCF|NOx|Asthma symptoms wheeze", US_national_yearly!$D:$AM, 14, FALSE) / VLOOKUP("LULUCF|NOx|Asthma symptoms wheeze", US_national_yearly!$D:$AM, 10, FALSE), 1)</f>
        <v>5.6552073559770584E-3</v>
      </c>
      <c r="G8" s="7">
        <f>$B8 * IFERROR(VLOOKUP("LULUCF|NOx|Asthma symptoms wheeze", US_national_yearly!$D:$AM, 15, FALSE) / VLOOKUP("LULUCF|NOx|Asthma symptoms wheeze", US_national_yearly!$D:$AM, 10, FALSE), 1)</f>
        <v>5.7137327700192185E-3</v>
      </c>
      <c r="H8" s="7">
        <f>$B8 * IFERROR(VLOOKUP("LULUCF|NOx|Asthma symptoms wheeze", US_national_yearly!$D:$AM, 16, FALSE) / VLOOKUP("LULUCF|NOx|Asthma symptoms wheeze", US_national_yearly!$D:$AM, 10, FALSE), 1)</f>
        <v>5.7722581840613778E-3</v>
      </c>
      <c r="I8" s="7">
        <f>$B8 * IFERROR(VLOOKUP("LULUCF|NOx|Asthma symptoms wheeze", US_national_yearly!$D:$AM, 17, FALSE) / VLOOKUP("LULUCF|NOx|Asthma symptoms wheeze", US_national_yearly!$D:$AM, 10, FALSE), 1)</f>
        <v>5.7924017949843205E-3</v>
      </c>
      <c r="J8" s="7">
        <f>$B8 * IFERROR(VLOOKUP("LULUCF|NOx|Asthma symptoms wheeze", US_national_yearly!$D:$AM, 18, FALSE) / VLOOKUP("LULUCF|NOx|Asthma symptoms wheeze", US_national_yearly!$D:$AM, 10, FALSE), 1)</f>
        <v>5.812545405907265E-3</v>
      </c>
      <c r="K8" s="7">
        <f>$B8 * IFERROR(VLOOKUP("LULUCF|NOx|Asthma symptoms wheeze", US_national_yearly!$D:$AM, 19, FALSE) / VLOOKUP("LULUCF|NOx|Asthma symptoms wheeze", US_national_yearly!$D:$AM, 10, FALSE), 1)</f>
        <v>5.8326890168302068E-3</v>
      </c>
      <c r="L8" s="7">
        <f>$B8 * IFERROR(VLOOKUP("LULUCF|NOx|Asthma symptoms wheeze", US_national_yearly!$D:$AM, 20, FALSE) / VLOOKUP("LULUCF|NOx|Asthma symptoms wheeze", US_national_yearly!$D:$AM, 10, FALSE), 1)</f>
        <v>5.8528326277531503E-3</v>
      </c>
      <c r="M8" s="7">
        <f>$B8 * IFERROR(VLOOKUP("LULUCF|NOx|Asthma symptoms wheeze", US_national_yearly!$D:$AM, 21, FALSE) / VLOOKUP("LULUCF|NOx|Asthma symptoms wheeze", US_national_yearly!$D:$AM, 10, FALSE), 1)</f>
        <v>5.872976238676093E-3</v>
      </c>
      <c r="N8" s="7">
        <f>$B8 * IFERROR(VLOOKUP("LULUCF|NOx|Asthma symptoms wheeze", US_national_yearly!$D:$AM, 22, FALSE) / VLOOKUP("LULUCF|NOx|Asthma symptoms wheeze", US_national_yearly!$D:$AM, 10, FALSE), 1)</f>
        <v>5.8963342555902708E-3</v>
      </c>
      <c r="O8" s="7">
        <f>$B8 * IFERROR(VLOOKUP("LULUCF|NOx|Asthma symptoms wheeze", US_national_yearly!$D:$AM, 23, FALSE) / VLOOKUP("LULUCF|NOx|Asthma symptoms wheeze", US_national_yearly!$D:$AM, 10, FALSE), 1)</f>
        <v>5.9196922725044503E-3</v>
      </c>
      <c r="P8" s="7">
        <f>$B8 * IFERROR(VLOOKUP("LULUCF|NOx|Asthma symptoms wheeze", US_national_yearly!$D:$AM, 24, FALSE) / VLOOKUP("LULUCF|NOx|Asthma symptoms wheeze", US_national_yearly!$D:$AM, 10, FALSE), 1)</f>
        <v>5.943050289418628E-3</v>
      </c>
      <c r="Q8" s="7">
        <f>$B8 * IFERROR(VLOOKUP("LULUCF|NOx|Asthma symptoms wheeze", US_national_yearly!$D:$AM, 25, FALSE) / VLOOKUP("LULUCF|NOx|Asthma symptoms wheeze", US_national_yearly!$D:$AM, 10, FALSE), 1)</f>
        <v>5.9664083063328066E-3</v>
      </c>
      <c r="R8" s="7">
        <f>$B8 * IFERROR(VLOOKUP("LULUCF|NOx|Asthma symptoms wheeze", US_national_yearly!$D:$AM, 26, FALSE) / VLOOKUP("LULUCF|NOx|Asthma symptoms wheeze", US_national_yearly!$D:$AM, 10, FALSE), 1)</f>
        <v>5.9897663232469844E-3</v>
      </c>
      <c r="S8" s="7">
        <f>$B8 * IFERROR(VLOOKUP("LULUCF|NOx|Asthma symptoms wheeze", US_national_yearly!$D:$AM, 27, FALSE) / VLOOKUP("LULUCF|NOx|Asthma symptoms wheeze", US_national_yearly!$D:$AM, 10, FALSE), 1)</f>
        <v>6.0202793327920863E-3</v>
      </c>
      <c r="T8" s="7">
        <f>$B8 * IFERROR(VLOOKUP("LULUCF|NOx|Asthma symptoms wheeze", US_national_yearly!$D:$AM, 28, FALSE) / VLOOKUP("LULUCF|NOx|Asthma symptoms wheeze", US_national_yearly!$D:$AM, 10, FALSE), 1)</f>
        <v>6.0507923423371883E-3</v>
      </c>
      <c r="U8" s="7">
        <f>$B8 * IFERROR(VLOOKUP("LULUCF|NOx|Asthma symptoms wheeze", US_national_yearly!$D:$AM, 29, FALSE) / VLOOKUP("LULUCF|NOx|Asthma symptoms wheeze", US_national_yearly!$D:$AM, 10, FALSE), 1)</f>
        <v>6.0813053518822902E-3</v>
      </c>
      <c r="V8" s="7">
        <f>$B8 * IFERROR(VLOOKUP("LULUCF|NOx|Asthma symptoms wheeze", US_national_yearly!$D:$AM, 30, FALSE) / VLOOKUP("LULUCF|NOx|Asthma symptoms wheeze", US_national_yearly!$D:$AM, 10, FALSE), 1)</f>
        <v>6.1118183614273939E-3</v>
      </c>
      <c r="W8" s="7">
        <f>$B8 * IFERROR(VLOOKUP("LULUCF|NOx|Asthma symptoms wheeze", US_national_yearly!$D:$AM, 31, FALSE) / VLOOKUP("LULUCF|NOx|Asthma symptoms wheeze", US_national_yearly!$D:$AM, 10, FALSE), 1)</f>
        <v>6.1423313709724949E-3</v>
      </c>
      <c r="X8" s="7">
        <f>$B8 * IFERROR(VLOOKUP("LULUCF|NOx|Asthma symptoms wheeze", US_national_yearly!$D:$AM, 32, FALSE) / VLOOKUP("LULUCF|NOx|Asthma symptoms wheeze", US_national_yearly!$D:$AM, 10, FALSE), 1)</f>
        <v>6.1706823411087509E-3</v>
      </c>
      <c r="Y8" s="7">
        <f>$B8 * IFERROR(VLOOKUP("LULUCF|NOx|Asthma symptoms wheeze", US_national_yearly!$D:$AM, 33, FALSE) / VLOOKUP("LULUCF|NOx|Asthma symptoms wheeze", US_national_yearly!$D:$AM, 10, FALSE), 1)</f>
        <v>6.1990333112450051E-3</v>
      </c>
      <c r="Z8" s="7">
        <f>$B8 * IFERROR(VLOOKUP("LULUCF|NOx|Asthma symptoms wheeze", US_national_yearly!$D:$AM, 34, FALSE) / VLOOKUP("LULUCF|NOx|Asthma symptoms wheeze", US_national_yearly!$D:$AM, 10, FALSE), 1)</f>
        <v>6.227384281381261E-3</v>
      </c>
      <c r="AA8" s="7">
        <f>$B8 * IFERROR(VLOOKUP("LULUCF|NOx|Asthma symptoms wheeze", US_national_yearly!$D:$AM, 35, FALSE) / VLOOKUP("LULUCF|NOx|Asthma symptoms wheeze", US_national_yearly!$D:$AM, 10, FALSE), 1)</f>
        <v>6.2557352515175153E-3</v>
      </c>
      <c r="AB8" s="7">
        <f>$B8 * IFERROR(VLOOKUP("LULUCF|NOx|Asthma symptoms wheeze", US_national_yearly!$D:$AM, 36, FALSE) / VLOOKUP("LULUCF|NOx|Asthma symptoms wheeze", US_national_yearly!$D:$AM, 10, FALSE), 1)</f>
        <v>6.2840862216537712E-3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7.539202782387615E-5</v>
      </c>
      <c r="C12" s="7">
        <f>$B12 * IFERROR(VLOOKUP("LULUCF|NOx|Respiratory hospital admissions", US_national_yearly!$D:$AM, 11, FALSE) / VLOOKUP("LULUCF|NOx|Respiratory hospital admissions", US_national_yearly!$D:$AM, 10, FALSE), 1)</f>
        <v>7.727265667919125E-5</v>
      </c>
      <c r="D12" s="7">
        <f>$B12 * IFERROR(VLOOKUP("LULUCF|NOx|Respiratory hospital admissions", US_national_yearly!$D:$AM, 12, FALSE) / VLOOKUP("LULUCF|NOx|Respiratory hospital admissions", US_national_yearly!$D:$AM, 10, FALSE), 1)</f>
        <v>7.9153285534506378E-5</v>
      </c>
      <c r="E12" s="7">
        <f>$B12 * IFERROR(VLOOKUP("LULUCF|NOx|Respiratory hospital admissions", US_national_yearly!$D:$AM, 13, FALSE) / VLOOKUP("LULUCF|NOx|Respiratory hospital admissions", US_national_yearly!$D:$AM, 10, FALSE), 1)</f>
        <v>8.1033914389821505E-5</v>
      </c>
      <c r="F12" s="7">
        <f>$B12 * IFERROR(VLOOKUP("LULUCF|NOx|Respiratory hospital admissions", US_national_yearly!$D:$AM, 14, FALSE) / VLOOKUP("LULUCF|NOx|Respiratory hospital admissions", US_national_yearly!$D:$AM, 10, FALSE), 1)</f>
        <v>8.2914543245136618E-5</v>
      </c>
      <c r="G12" s="7">
        <f>$B12 * IFERROR(VLOOKUP("LULUCF|NOx|Respiratory hospital admissions", US_national_yearly!$D:$AM, 15, FALSE) / VLOOKUP("LULUCF|NOx|Respiratory hospital admissions", US_national_yearly!$D:$AM, 10, FALSE), 1)</f>
        <v>8.4712488439804781E-5</v>
      </c>
      <c r="H12" s="7">
        <f>$B12 * IFERROR(VLOOKUP("LULUCF|NOx|Respiratory hospital admissions", US_national_yearly!$D:$AM, 16, FALSE) / VLOOKUP("LULUCF|NOx|Respiratory hospital admissions", US_national_yearly!$D:$AM, 10, FALSE), 1)</f>
        <v>8.6510433634472944E-5</v>
      </c>
      <c r="I12" s="7">
        <f>$B12 * IFERROR(VLOOKUP("LULUCF|NOx|Respiratory hospital admissions", US_national_yearly!$D:$AM, 17, FALSE) / VLOOKUP("LULUCF|NOx|Respiratory hospital admissions", US_national_yearly!$D:$AM, 10, FALSE), 1)</f>
        <v>8.8036926066758822E-5</v>
      </c>
      <c r="J12" s="7">
        <f>$B12 * IFERROR(VLOOKUP("LULUCF|NOx|Respiratory hospital admissions", US_national_yearly!$D:$AM, 18, FALSE) / VLOOKUP("LULUCF|NOx|Respiratory hospital admissions", US_national_yearly!$D:$AM, 10, FALSE), 1)</f>
        <v>8.9563418499044687E-5</v>
      </c>
      <c r="K12" s="7">
        <f>$B12 * IFERROR(VLOOKUP("LULUCF|NOx|Respiratory hospital admissions", US_national_yearly!$D:$AM, 19, FALSE) / VLOOKUP("LULUCF|NOx|Respiratory hospital admissions", US_national_yearly!$D:$AM, 10, FALSE), 1)</f>
        <v>9.1089910931330578E-5</v>
      </c>
      <c r="L12" s="7">
        <f>$B12 * IFERROR(VLOOKUP("LULUCF|NOx|Respiratory hospital admissions", US_national_yearly!$D:$AM, 20, FALSE) / VLOOKUP("LULUCF|NOx|Respiratory hospital admissions", US_national_yearly!$D:$AM, 10, FALSE), 1)</f>
        <v>9.2616403363616456E-5</v>
      </c>
      <c r="M12" s="7">
        <f>$B12 * IFERROR(VLOOKUP("LULUCF|NOx|Respiratory hospital admissions", US_national_yearly!$D:$AM, 21, FALSE) / VLOOKUP("LULUCF|NOx|Respiratory hospital admissions", US_national_yearly!$D:$AM, 10, FALSE), 1)</f>
        <v>9.4142895795902348E-5</v>
      </c>
      <c r="N12" s="7">
        <f>$B12 * IFERROR(VLOOKUP("LULUCF|NOx|Respiratory hospital admissions", US_national_yearly!$D:$AM, 22, FALSE) / VLOOKUP("LULUCF|NOx|Respiratory hospital admissions", US_national_yearly!$D:$AM, 10, FALSE), 1)</f>
        <v>9.5163383470709041E-5</v>
      </c>
      <c r="O12" s="7">
        <f>$B12 * IFERROR(VLOOKUP("LULUCF|NOx|Respiratory hospital admissions", US_national_yearly!$D:$AM, 23, FALSE) / VLOOKUP("LULUCF|NOx|Respiratory hospital admissions", US_national_yearly!$D:$AM, 10, FALSE), 1)</f>
        <v>9.6183871145515788E-5</v>
      </c>
      <c r="P12" s="7">
        <f>$B12 * IFERROR(VLOOKUP("LULUCF|NOx|Respiratory hospital admissions", US_national_yearly!$D:$AM, 24, FALSE) / VLOOKUP("LULUCF|NOx|Respiratory hospital admissions", US_national_yearly!$D:$AM, 10, FALSE), 1)</f>
        <v>9.7204358820322508E-5</v>
      </c>
      <c r="Q12" s="7">
        <f>$B12 * IFERROR(VLOOKUP("LULUCF|NOx|Respiratory hospital admissions", US_national_yearly!$D:$AM, 25, FALSE) / VLOOKUP("LULUCF|NOx|Respiratory hospital admissions", US_national_yearly!$D:$AM, 10, FALSE), 1)</f>
        <v>9.8224846495129241E-5</v>
      </c>
      <c r="R12" s="7">
        <f>$B12 * IFERROR(VLOOKUP("LULUCF|NOx|Respiratory hospital admissions", US_national_yearly!$D:$AM, 26, FALSE) / VLOOKUP("LULUCF|NOx|Respiratory hospital admissions", US_national_yearly!$D:$AM, 10, FALSE), 1)</f>
        <v>9.9245334169935961E-5</v>
      </c>
      <c r="S12" s="7">
        <f>$B12 * IFERROR(VLOOKUP("LULUCF|NOx|Respiratory hospital admissions", US_national_yearly!$D:$AM, 27, FALSE) / VLOOKUP("LULUCF|NOx|Respiratory hospital admissions", US_national_yearly!$D:$AM, 10, FALSE), 1)</f>
        <v>9.9792083814084439E-5</v>
      </c>
      <c r="T12" s="7">
        <f>$B12 * IFERROR(VLOOKUP("LULUCF|NOx|Respiratory hospital admissions", US_national_yearly!$D:$AM, 28, FALSE) / VLOOKUP("LULUCF|NOx|Respiratory hospital admissions", US_national_yearly!$D:$AM, 10, FALSE), 1)</f>
        <v>1.0033883345823292E-4</v>
      </c>
      <c r="U12" s="7">
        <f>$B12 * IFERROR(VLOOKUP("LULUCF|NOx|Respiratory hospital admissions", US_national_yearly!$D:$AM, 29, FALSE) / VLOOKUP("LULUCF|NOx|Respiratory hospital admissions", US_national_yearly!$D:$AM, 10, FALSE), 1)</f>
        <v>1.008855831023814E-4</v>
      </c>
      <c r="V12" s="7">
        <f>$B12 * IFERROR(VLOOKUP("LULUCF|NOx|Respiratory hospital admissions", US_national_yearly!$D:$AM, 30, FALSE) / VLOOKUP("LULUCF|NOx|Respiratory hospital admissions", US_national_yearly!$D:$AM, 10, FALSE), 1)</f>
        <v>1.0143233274652986E-4</v>
      </c>
      <c r="W12" s="7">
        <f>$B12 * IFERROR(VLOOKUP("LULUCF|NOx|Respiratory hospital admissions", US_national_yearly!$D:$AM, 31, FALSE) / VLOOKUP("LULUCF|NOx|Respiratory hospital admissions", US_national_yearly!$D:$AM, 10, FALSE), 1)</f>
        <v>1.0197908239067835E-4</v>
      </c>
      <c r="X12" s="7">
        <f>$B12 * IFERROR(VLOOKUP("LULUCF|NOx|Respiratory hospital admissions", US_national_yearly!$D:$AM, 32, FALSE) / VLOOKUP("LULUCF|NOx|Respiratory hospital admissions", US_national_yearly!$D:$AM, 10, FALSE), 1)</f>
        <v>1.023527147406619E-4</v>
      </c>
      <c r="Y12" s="7">
        <f>$B12 * IFERROR(VLOOKUP("LULUCF|NOx|Respiratory hospital admissions", US_national_yearly!$D:$AM, 33, FALSE) / VLOOKUP("LULUCF|NOx|Respiratory hospital admissions", US_national_yearly!$D:$AM, 10, FALSE), 1)</f>
        <v>1.0272634709064547E-4</v>
      </c>
      <c r="Z12" s="7">
        <f>$B12 * IFERROR(VLOOKUP("LULUCF|NOx|Respiratory hospital admissions", US_national_yearly!$D:$AM, 34, FALSE) / VLOOKUP("LULUCF|NOx|Respiratory hospital admissions", US_national_yearly!$D:$AM, 10, FALSE), 1)</f>
        <v>1.0309997944062905E-4</v>
      </c>
      <c r="AA12" s="7">
        <f>$B12 * IFERROR(VLOOKUP("LULUCF|NOx|Respiratory hospital admissions", US_national_yearly!$D:$AM, 35, FALSE) / VLOOKUP("LULUCF|NOx|Respiratory hospital admissions", US_national_yearly!$D:$AM, 10, FALSE), 1)</f>
        <v>1.0347361179061261E-4</v>
      </c>
      <c r="AB12" s="7">
        <f>$B12 * IFERROR(VLOOKUP("LULUCF|NOx|Respiratory hospital admissions", US_national_yearly!$D:$AM, 36, FALSE) / VLOOKUP("LULUCF|NOx|Respiratory hospital admissions", US_national_yearly!$D:$AM, 10, FALSE), 1)</f>
        <v>1.0384724414059616E-4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4.4562839632597182E-4</v>
      </c>
      <c r="C13" s="7">
        <f>$B13 * IFERROR(VLOOKUP("LULUCF|NOx|Non-fatal heart attacks", US_national_yearly!$D:$AM, 11, FALSE) / VLOOKUP("LULUCF|NOx|Non-fatal heart attacks", US_national_yearly!$D:$AM, 10, FALSE), 1)</f>
        <v>4.5836851955326387E-4</v>
      </c>
      <c r="D13" s="7">
        <f>$B13 * IFERROR(VLOOKUP("LULUCF|NOx|Non-fatal heart attacks", US_national_yearly!$D:$AM, 12, FALSE) / VLOOKUP("LULUCF|NOx|Non-fatal heart attacks", US_national_yearly!$D:$AM, 10, FALSE), 1)</f>
        <v>4.7110864278055597E-4</v>
      </c>
      <c r="E13" s="7">
        <f>$B13 * IFERROR(VLOOKUP("LULUCF|NOx|Non-fatal heart attacks", US_national_yearly!$D:$AM, 13, FALSE) / VLOOKUP("LULUCF|NOx|Non-fatal heart attacks", US_national_yearly!$D:$AM, 10, FALSE), 1)</f>
        <v>4.8384876600784791E-4</v>
      </c>
      <c r="F13" s="7">
        <f>$B13 * IFERROR(VLOOKUP("LULUCF|NOx|Non-fatal heart attacks", US_national_yearly!$D:$AM, 14, FALSE) / VLOOKUP("LULUCF|NOx|Non-fatal heart attacks", US_national_yearly!$D:$AM, 10, FALSE), 1)</f>
        <v>4.9658888923514001E-4</v>
      </c>
      <c r="G13" s="7">
        <f>$B13 * IFERROR(VLOOKUP("LULUCF|NOx|Non-fatal heart attacks", US_national_yearly!$D:$AM, 15, FALSE) / VLOOKUP("LULUCF|NOx|Non-fatal heart attacks", US_national_yearly!$D:$AM, 10, FALSE), 1)</f>
        <v>5.0849450791264604E-4</v>
      </c>
      <c r="H13" s="7">
        <f>$B13 * IFERROR(VLOOKUP("LULUCF|NOx|Non-fatal heart attacks", US_national_yearly!$D:$AM, 16, FALSE) / VLOOKUP("LULUCF|NOx|Non-fatal heart attacks", US_national_yearly!$D:$AM, 10, FALSE), 1)</f>
        <v>5.2040012659015217E-4</v>
      </c>
      <c r="I13" s="7">
        <f>$B13 * IFERROR(VLOOKUP("LULUCF|NOx|Non-fatal heart attacks", US_national_yearly!$D:$AM, 17, FALSE) / VLOOKUP("LULUCF|NOx|Non-fatal heart attacks", US_national_yearly!$D:$AM, 10, FALSE), 1)</f>
        <v>5.2978634597520625E-4</v>
      </c>
      <c r="J13" s="7">
        <f>$B13 * IFERROR(VLOOKUP("LULUCF|NOx|Non-fatal heart attacks", US_national_yearly!$D:$AM, 18, FALSE) / VLOOKUP("LULUCF|NOx|Non-fatal heart attacks", US_national_yearly!$D:$AM, 10, FALSE), 1)</f>
        <v>5.3917256536026043E-4</v>
      </c>
      <c r="K13" s="7">
        <f>$B13 * IFERROR(VLOOKUP("LULUCF|NOx|Non-fatal heart attacks", US_national_yearly!$D:$AM, 19, FALSE) / VLOOKUP("LULUCF|NOx|Non-fatal heart attacks", US_national_yearly!$D:$AM, 10, FALSE), 1)</f>
        <v>5.4855878474531429E-4</v>
      </c>
      <c r="L13" s="7">
        <f>$B13 * IFERROR(VLOOKUP("LULUCF|NOx|Non-fatal heart attacks", US_national_yearly!$D:$AM, 20, FALSE) / VLOOKUP("LULUCF|NOx|Non-fatal heart attacks", US_national_yearly!$D:$AM, 10, FALSE), 1)</f>
        <v>5.579450041303688E-4</v>
      </c>
      <c r="M13" s="7">
        <f>$B13 * IFERROR(VLOOKUP("LULUCF|NOx|Non-fatal heart attacks", US_national_yearly!$D:$AM, 21, FALSE) / VLOOKUP("LULUCF|NOx|Non-fatal heart attacks", US_national_yearly!$D:$AM, 10, FALSE), 1)</f>
        <v>5.6733122351542277E-4</v>
      </c>
      <c r="N13" s="7">
        <f>$B13 * IFERROR(VLOOKUP("LULUCF|NOx|Non-fatal heart attacks", US_national_yearly!$D:$AM, 22, FALSE) / VLOOKUP("LULUCF|NOx|Non-fatal heart attacks", US_national_yearly!$D:$AM, 10, FALSE), 1)</f>
        <v>5.7297825774938317E-4</v>
      </c>
      <c r="O13" s="7">
        <f>$B13 * IFERROR(VLOOKUP("LULUCF|NOx|Non-fatal heart attacks", US_national_yearly!$D:$AM, 23, FALSE) / VLOOKUP("LULUCF|NOx|Non-fatal heart attacks", US_national_yearly!$D:$AM, 10, FALSE), 1)</f>
        <v>5.7862529198334357E-4</v>
      </c>
      <c r="P13" s="7">
        <f>$B13 * IFERROR(VLOOKUP("LULUCF|NOx|Non-fatal heart attacks", US_national_yearly!$D:$AM, 24, FALSE) / VLOOKUP("LULUCF|NOx|Non-fatal heart attacks", US_national_yearly!$D:$AM, 10, FALSE), 1)</f>
        <v>5.8427232621730387E-4</v>
      </c>
      <c r="Q13" s="7">
        <f>$B13 * IFERROR(VLOOKUP("LULUCF|NOx|Non-fatal heart attacks", US_national_yearly!$D:$AM, 25, FALSE) / VLOOKUP("LULUCF|NOx|Non-fatal heart attacks", US_national_yearly!$D:$AM, 10, FALSE), 1)</f>
        <v>5.8991936045126438E-4</v>
      </c>
      <c r="R13" s="7">
        <f>$B13 * IFERROR(VLOOKUP("LULUCF|NOx|Non-fatal heart attacks", US_national_yearly!$D:$AM, 26, FALSE) / VLOOKUP("LULUCF|NOx|Non-fatal heart attacks", US_national_yearly!$D:$AM, 10, FALSE), 1)</f>
        <v>5.9556639468522478E-4</v>
      </c>
      <c r="S13" s="7">
        <f>$B13 * IFERROR(VLOOKUP("LULUCF|NOx|Non-fatal heart attacks", US_national_yearly!$D:$AM, 27, FALSE) / VLOOKUP("LULUCF|NOx|Non-fatal heart attacks", US_national_yearly!$D:$AM, 10, FALSE), 1)</f>
        <v>5.9812792847073872E-4</v>
      </c>
      <c r="T13" s="7">
        <f>$B13 * IFERROR(VLOOKUP("LULUCF|NOx|Non-fatal heart attacks", US_national_yearly!$D:$AM, 28, FALSE) / VLOOKUP("LULUCF|NOx|Non-fatal heart attacks", US_national_yearly!$D:$AM, 10, FALSE), 1)</f>
        <v>6.0068946225625276E-4</v>
      </c>
      <c r="U13" s="7">
        <f>$B13 * IFERROR(VLOOKUP("LULUCF|NOx|Non-fatal heart attacks", US_national_yearly!$D:$AM, 29, FALSE) / VLOOKUP("LULUCF|NOx|Non-fatal heart attacks", US_national_yearly!$D:$AM, 10, FALSE), 1)</f>
        <v>6.032509960417667E-4</v>
      </c>
      <c r="V13" s="7">
        <f>$B13 * IFERROR(VLOOKUP("LULUCF|NOx|Non-fatal heart attacks", US_national_yearly!$D:$AM, 30, FALSE) / VLOOKUP("LULUCF|NOx|Non-fatal heart attacks", US_national_yearly!$D:$AM, 10, FALSE), 1)</f>
        <v>6.0581252982728063E-4</v>
      </c>
      <c r="W13" s="7">
        <f>$B13 * IFERROR(VLOOKUP("LULUCF|NOx|Non-fatal heart attacks", US_national_yearly!$D:$AM, 31, FALSE) / VLOOKUP("LULUCF|NOx|Non-fatal heart attacks", US_national_yearly!$D:$AM, 10, FALSE), 1)</f>
        <v>6.0837406361279457E-4</v>
      </c>
      <c r="X13" s="7">
        <f>$B13 * IFERROR(VLOOKUP("LULUCF|NOx|Non-fatal heart attacks", US_national_yearly!$D:$AM, 32, FALSE) / VLOOKUP("LULUCF|NOx|Non-fatal heart attacks", US_national_yearly!$D:$AM, 10, FALSE), 1)</f>
        <v>6.1008581527159894E-4</v>
      </c>
      <c r="Y13" s="7">
        <f>$B13 * IFERROR(VLOOKUP("LULUCF|NOx|Non-fatal heart attacks", US_national_yearly!$D:$AM, 33, FALSE) / VLOOKUP("LULUCF|NOx|Non-fatal heart attacks", US_national_yearly!$D:$AM, 10, FALSE), 1)</f>
        <v>6.1179756693040342E-4</v>
      </c>
      <c r="Z13" s="7">
        <f>$B13 * IFERROR(VLOOKUP("LULUCF|NOx|Non-fatal heart attacks", US_national_yearly!$D:$AM, 34, FALSE) / VLOOKUP("LULUCF|NOx|Non-fatal heart attacks", US_national_yearly!$D:$AM, 10, FALSE), 1)</f>
        <v>6.1350931858920768E-4</v>
      </c>
      <c r="AA13" s="7">
        <f>$B13 * IFERROR(VLOOKUP("LULUCF|NOx|Non-fatal heart attacks", US_national_yearly!$D:$AM, 35, FALSE) / VLOOKUP("LULUCF|NOx|Non-fatal heart attacks", US_national_yearly!$D:$AM, 10, FALSE), 1)</f>
        <v>6.1522107024801205E-4</v>
      </c>
      <c r="AB13" s="7">
        <f>$B13 * IFERROR(VLOOKUP("LULUCF|NOx|Non-fatal heart attacks", US_national_yearly!$D:$AM, 36, FALSE) / VLOOKUP("LULUCF|NOx|Non-fatal heart attacks", US_national_yearly!$D:$AM, 10, FALSE), 1)</f>
        <v>6.1693282190681653E-4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0.3591740696998979</v>
      </c>
      <c r="C14" s="7">
        <f>$B14 * IFERROR(VLOOKUP("LULUCF|NOx|Minor restricted activity days", US_national_yearly!$D:$AM, 11, FALSE) / VLOOKUP("LULUCF|NOx|Minor restricted activity days", US_national_yearly!$D:$AM, 10, FALSE), 1)</f>
        <v>0.35972474382484543</v>
      </c>
      <c r="D14" s="7">
        <f>$B14 * IFERROR(VLOOKUP("LULUCF|NOx|Minor restricted activity days", US_national_yearly!$D:$AM, 12, FALSE) / VLOOKUP("LULUCF|NOx|Minor restricted activity days", US_national_yearly!$D:$AM, 10, FALSE), 1)</f>
        <v>0.36027541794979301</v>
      </c>
      <c r="E14" s="7">
        <f>$B14 * IFERROR(VLOOKUP("LULUCF|NOx|Minor restricted activity days", US_national_yearly!$D:$AM, 13, FALSE) / VLOOKUP("LULUCF|NOx|Minor restricted activity days", US_national_yearly!$D:$AM, 10, FALSE), 1)</f>
        <v>0.36082609207474059</v>
      </c>
      <c r="F14" s="7">
        <f>$B14 * IFERROR(VLOOKUP("LULUCF|NOx|Minor restricted activity days", US_national_yearly!$D:$AM, 14, FALSE) / VLOOKUP("LULUCF|NOx|Minor restricted activity days", US_national_yearly!$D:$AM, 10, FALSE), 1)</f>
        <v>0.36137676619968806</v>
      </c>
      <c r="G14" s="7">
        <f>$B14 * IFERROR(VLOOKUP("LULUCF|NOx|Minor restricted activity days", US_national_yearly!$D:$AM, 15, FALSE) / VLOOKUP("LULUCF|NOx|Minor restricted activity days", US_national_yearly!$D:$AM, 10, FALSE), 1)</f>
        <v>0.36237115259763875</v>
      </c>
      <c r="H14" s="7">
        <f>$B14 * IFERROR(VLOOKUP("LULUCF|NOx|Minor restricted activity days", US_national_yearly!$D:$AM, 16, FALSE) / VLOOKUP("LULUCF|NOx|Minor restricted activity days", US_national_yearly!$D:$AM, 10, FALSE), 1)</f>
        <v>0.36336553899558938</v>
      </c>
      <c r="I14" s="7">
        <f>$B14 * IFERROR(VLOOKUP("LULUCF|NOx|Minor restricted activity days", US_national_yearly!$D:$AM, 17, FALSE) / VLOOKUP("LULUCF|NOx|Minor restricted activity days", US_national_yearly!$D:$AM, 10, FALSE), 1)</f>
        <v>0.36531051946787385</v>
      </c>
      <c r="J14" s="7">
        <f>$B14 * IFERROR(VLOOKUP("LULUCF|NOx|Minor restricted activity days", US_national_yearly!$D:$AM, 18, FALSE) / VLOOKUP("LULUCF|NOx|Minor restricted activity days", US_national_yearly!$D:$AM, 10, FALSE), 1)</f>
        <v>0.36725549994015827</v>
      </c>
      <c r="K14" s="7">
        <f>$B14 * IFERROR(VLOOKUP("LULUCF|NOx|Minor restricted activity days", US_national_yearly!$D:$AM, 19, FALSE) / VLOOKUP("LULUCF|NOx|Minor restricted activity days", US_national_yearly!$D:$AM, 10, FALSE), 1)</f>
        <v>0.36920048041244274</v>
      </c>
      <c r="L14" s="7">
        <f>$B14 * IFERROR(VLOOKUP("LULUCF|NOx|Minor restricted activity days", US_national_yearly!$D:$AM, 20, FALSE) / VLOOKUP("LULUCF|NOx|Minor restricted activity days", US_national_yearly!$D:$AM, 10, FALSE), 1)</f>
        <v>0.37114546088472716</v>
      </c>
      <c r="M14" s="7">
        <f>$B14 * IFERROR(VLOOKUP("LULUCF|NOx|Minor restricted activity days", US_national_yearly!$D:$AM, 21, FALSE) / VLOOKUP("LULUCF|NOx|Minor restricted activity days", US_national_yearly!$D:$AM, 10, FALSE), 1)</f>
        <v>0.37309044135701164</v>
      </c>
      <c r="N14" s="7">
        <f>$B14 * IFERROR(VLOOKUP("LULUCF|NOx|Minor restricted activity days", US_national_yearly!$D:$AM, 22, FALSE) / VLOOKUP("LULUCF|NOx|Minor restricted activity days", US_national_yearly!$D:$AM, 10, FALSE), 1)</f>
        <v>0.37587521237855304</v>
      </c>
      <c r="O14" s="7">
        <f>$B14 * IFERROR(VLOOKUP("LULUCF|NOx|Minor restricted activity days", US_national_yearly!$D:$AM, 23, FALSE) / VLOOKUP("LULUCF|NOx|Minor restricted activity days", US_national_yearly!$D:$AM, 10, FALSE), 1)</f>
        <v>0.37865998340009444</v>
      </c>
      <c r="P14" s="7">
        <f>$B14 * IFERROR(VLOOKUP("LULUCF|NOx|Minor restricted activity days", US_national_yearly!$D:$AM, 24, FALSE) / VLOOKUP("LULUCF|NOx|Minor restricted activity days", US_national_yearly!$D:$AM, 10, FALSE), 1)</f>
        <v>0.38144475442163583</v>
      </c>
      <c r="Q14" s="7">
        <f>$B14 * IFERROR(VLOOKUP("LULUCF|NOx|Minor restricted activity days", US_national_yearly!$D:$AM, 25, FALSE) / VLOOKUP("LULUCF|NOx|Minor restricted activity days", US_national_yearly!$D:$AM, 10, FALSE), 1)</f>
        <v>0.38422952544317723</v>
      </c>
      <c r="R14" s="7">
        <f>$B14 * IFERROR(VLOOKUP("LULUCF|NOx|Minor restricted activity days", US_national_yearly!$D:$AM, 26, FALSE) / VLOOKUP("LULUCF|NOx|Minor restricted activity days", US_national_yearly!$D:$AM, 10, FALSE), 1)</f>
        <v>0.38701429646471863</v>
      </c>
      <c r="S14" s="7">
        <f>$B14 * IFERROR(VLOOKUP("LULUCF|NOx|Minor restricted activity days", US_national_yearly!$D:$AM, 27, FALSE) / VLOOKUP("LULUCF|NOx|Minor restricted activity days", US_national_yearly!$D:$AM, 10, FALSE), 1)</f>
        <v>0.3897984819941131</v>
      </c>
      <c r="T14" s="7">
        <f>$B14 * IFERROR(VLOOKUP("LULUCF|NOx|Minor restricted activity days", US_national_yearly!$D:$AM, 28, FALSE) / VLOOKUP("LULUCF|NOx|Minor restricted activity days", US_national_yearly!$D:$AM, 10, FALSE), 1)</f>
        <v>0.39258266752350751</v>
      </c>
      <c r="U14" s="7">
        <f>$B14 * IFERROR(VLOOKUP("LULUCF|NOx|Minor restricted activity days", US_national_yearly!$D:$AM, 29, FALSE) / VLOOKUP("LULUCF|NOx|Minor restricted activity days", US_national_yearly!$D:$AM, 10, FALSE), 1)</f>
        <v>0.39536685305290198</v>
      </c>
      <c r="V14" s="7">
        <f>$B14 * IFERROR(VLOOKUP("LULUCF|NOx|Minor restricted activity days", US_national_yearly!$D:$AM, 30, FALSE) / VLOOKUP("LULUCF|NOx|Minor restricted activity days", US_national_yearly!$D:$AM, 10, FALSE), 1)</f>
        <v>0.39815103858229645</v>
      </c>
      <c r="W14" s="7">
        <f>$B14 * IFERROR(VLOOKUP("LULUCF|NOx|Minor restricted activity days", US_national_yearly!$D:$AM, 31, FALSE) / VLOOKUP("LULUCF|NOx|Minor restricted activity days", US_national_yearly!$D:$AM, 10, FALSE), 1)</f>
        <v>0.40093522411169086</v>
      </c>
      <c r="X14" s="7">
        <f>$B14 * IFERROR(VLOOKUP("LULUCF|NOx|Minor restricted activity days", US_national_yearly!$D:$AM, 32, FALSE) / VLOOKUP("LULUCF|NOx|Minor restricted activity days", US_national_yearly!$D:$AM, 10, FALSE), 1)</f>
        <v>0.40328914691093565</v>
      </c>
      <c r="Y14" s="7">
        <f>$B14 * IFERROR(VLOOKUP("LULUCF|NOx|Minor restricted activity days", US_national_yearly!$D:$AM, 33, FALSE) / VLOOKUP("LULUCF|NOx|Minor restricted activity days", US_national_yearly!$D:$AM, 10, FALSE), 1)</f>
        <v>0.40564306971018044</v>
      </c>
      <c r="Z14" s="7">
        <f>$B14 * IFERROR(VLOOKUP("LULUCF|NOx|Minor restricted activity days", US_national_yearly!$D:$AM, 34, FALSE) / VLOOKUP("LULUCF|NOx|Minor restricted activity days", US_national_yearly!$D:$AM, 10, FALSE), 1)</f>
        <v>0.40799699250942517</v>
      </c>
      <c r="AA14" s="7">
        <f>$B14 * IFERROR(VLOOKUP("LULUCF|NOx|Minor restricted activity days", US_national_yearly!$D:$AM, 35, FALSE) / VLOOKUP("LULUCF|NOx|Minor restricted activity days", US_national_yearly!$D:$AM, 10, FALSE), 1)</f>
        <v>0.41035091530866996</v>
      </c>
      <c r="AB14" s="7">
        <f>$B14 * IFERROR(VLOOKUP("LULUCF|NOx|Minor restricted activity days", US_national_yearly!$D:$AM, 36, FALSE) / VLOOKUP("LULUCF|NOx|Minor restricted activity days", US_national_yearly!$D:$AM, 10, FALSE), 1)</f>
        <v>0.41270483810791475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6.1044238435047422E-2</v>
      </c>
      <c r="C15" s="7">
        <f>$B15 * IFERROR(VLOOKUP("LULUCF|NOx|Work loss days", US_national_yearly!$D:$AM, 11, FALSE) / VLOOKUP("LULUCF|NOx|Work loss days", US_national_yearly!$D:$AM, 10, FALSE), 1)</f>
        <v>6.1180028059473597E-2</v>
      </c>
      <c r="D15" s="7">
        <f>$B15 * IFERROR(VLOOKUP("LULUCF|NOx|Work loss days", US_national_yearly!$D:$AM, 12, FALSE) / VLOOKUP("LULUCF|NOx|Work loss days", US_national_yearly!$D:$AM, 10, FALSE), 1)</f>
        <v>6.1315817683899793E-2</v>
      </c>
      <c r="E15" s="7">
        <f>$B15 * IFERROR(VLOOKUP("LULUCF|NOx|Work loss days", US_national_yearly!$D:$AM, 13, FALSE) / VLOOKUP("LULUCF|NOx|Work loss days", US_national_yearly!$D:$AM, 10, FALSE), 1)</f>
        <v>6.1451607308325967E-2</v>
      </c>
      <c r="F15" s="7">
        <f>$B15 * IFERROR(VLOOKUP("LULUCF|NOx|Work loss days", US_national_yearly!$D:$AM, 14, FALSE) / VLOOKUP("LULUCF|NOx|Work loss days", US_national_yearly!$D:$AM, 10, FALSE), 1)</f>
        <v>6.1587396932752163E-2</v>
      </c>
      <c r="G15" s="7">
        <f>$B15 * IFERROR(VLOOKUP("LULUCF|NOx|Work loss days", US_national_yearly!$D:$AM, 15, FALSE) / VLOOKUP("LULUCF|NOx|Work loss days", US_national_yearly!$D:$AM, 10, FALSE), 1)</f>
        <v>6.1785650942760173E-2</v>
      </c>
      <c r="H15" s="7">
        <f>$B15 * IFERROR(VLOOKUP("LULUCF|NOx|Work loss days", US_national_yearly!$D:$AM, 16, FALSE) / VLOOKUP("LULUCF|NOx|Work loss days", US_national_yearly!$D:$AM, 10, FALSE), 1)</f>
        <v>6.1983904952768197E-2</v>
      </c>
      <c r="I15" s="7">
        <f>$B15 * IFERROR(VLOOKUP("LULUCF|NOx|Work loss days", US_national_yearly!$D:$AM, 17, FALSE) / VLOOKUP("LULUCF|NOx|Work loss days", US_national_yearly!$D:$AM, 10, FALSE), 1)</f>
        <v>6.2305065704363893E-2</v>
      </c>
      <c r="J15" s="7">
        <f>$B15 * IFERROR(VLOOKUP("LULUCF|NOx|Work loss days", US_national_yearly!$D:$AM, 18, FALSE) / VLOOKUP("LULUCF|NOx|Work loss days", US_national_yearly!$D:$AM, 10, FALSE), 1)</f>
        <v>6.262622645595961E-2</v>
      </c>
      <c r="K15" s="7">
        <f>$B15 * IFERROR(VLOOKUP("LULUCF|NOx|Work loss days", US_national_yearly!$D:$AM, 19, FALSE) / VLOOKUP("LULUCF|NOx|Work loss days", US_national_yearly!$D:$AM, 10, FALSE), 1)</f>
        <v>6.29473872075553E-2</v>
      </c>
      <c r="L15" s="7">
        <f>$B15 * IFERROR(VLOOKUP("LULUCF|NOx|Work loss days", US_national_yearly!$D:$AM, 20, FALSE) / VLOOKUP("LULUCF|NOx|Work loss days", US_national_yearly!$D:$AM, 10, FALSE), 1)</f>
        <v>6.3268547959151003E-2</v>
      </c>
      <c r="M15" s="7">
        <f>$B15 * IFERROR(VLOOKUP("LULUCF|NOx|Work loss days", US_national_yearly!$D:$AM, 21, FALSE) / VLOOKUP("LULUCF|NOx|Work loss days", US_national_yearly!$D:$AM, 10, FALSE), 1)</f>
        <v>6.3589708710746706E-2</v>
      </c>
      <c r="N15" s="7">
        <f>$B15 * IFERROR(VLOOKUP("LULUCF|NOx|Work loss days", US_national_yearly!$D:$AM, 22, FALSE) / VLOOKUP("LULUCF|NOx|Work loss days", US_national_yearly!$D:$AM, 10, FALSE), 1)</f>
        <v>6.4007679721646962E-2</v>
      </c>
      <c r="O15" s="7">
        <f>$B15 * IFERROR(VLOOKUP("LULUCF|NOx|Work loss days", US_national_yearly!$D:$AM, 23, FALSE) / VLOOKUP("LULUCF|NOx|Work loss days", US_national_yearly!$D:$AM, 10, FALSE), 1)</f>
        <v>6.4425650732547232E-2</v>
      </c>
      <c r="P15" s="7">
        <f>$B15 * IFERROR(VLOOKUP("LULUCF|NOx|Work loss days", US_national_yearly!$D:$AM, 24, FALSE) / VLOOKUP("LULUCF|NOx|Work loss days", US_national_yearly!$D:$AM, 10, FALSE), 1)</f>
        <v>6.4843621743447488E-2</v>
      </c>
      <c r="Q15" s="7">
        <f>$B15 * IFERROR(VLOOKUP("LULUCF|NOx|Work loss days", US_national_yearly!$D:$AM, 25, FALSE) / VLOOKUP("LULUCF|NOx|Work loss days", US_national_yearly!$D:$AM, 10, FALSE), 1)</f>
        <v>6.526159275434773E-2</v>
      </c>
      <c r="R15" s="7">
        <f>$B15 * IFERROR(VLOOKUP("LULUCF|NOx|Work loss days", US_national_yearly!$D:$AM, 26, FALSE) / VLOOKUP("LULUCF|NOx|Work loss days", US_national_yearly!$D:$AM, 10, FALSE), 1)</f>
        <v>6.5679563765248014E-2</v>
      </c>
      <c r="S15" s="7">
        <f>$B15 * IFERROR(VLOOKUP("LULUCF|NOx|Work loss days", US_national_yearly!$D:$AM, 27, FALSE) / VLOOKUP("LULUCF|NOx|Work loss days", US_national_yearly!$D:$AM, 10, FALSE), 1)</f>
        <v>6.6145547999790444E-2</v>
      </c>
      <c r="T15" s="7">
        <f>$B15 * IFERROR(VLOOKUP("LULUCF|NOx|Work loss days", US_national_yearly!$D:$AM, 28, FALSE) / VLOOKUP("LULUCF|NOx|Work loss days", US_national_yearly!$D:$AM, 10, FALSE), 1)</f>
        <v>6.6611532234332888E-2</v>
      </c>
      <c r="U15" s="7">
        <f>$B15 * IFERROR(VLOOKUP("LULUCF|NOx|Work loss days", US_national_yearly!$D:$AM, 29, FALSE) / VLOOKUP("LULUCF|NOx|Work loss days", US_national_yearly!$D:$AM, 10, FALSE), 1)</f>
        <v>6.7077516468875303E-2</v>
      </c>
      <c r="V15" s="7">
        <f>$B15 * IFERROR(VLOOKUP("LULUCF|NOx|Work loss days", US_national_yearly!$D:$AM, 30, FALSE) / VLOOKUP("LULUCF|NOx|Work loss days", US_national_yearly!$D:$AM, 10, FALSE), 1)</f>
        <v>6.7543500703417747E-2</v>
      </c>
      <c r="W15" s="7">
        <f>$B15 * IFERROR(VLOOKUP("LULUCF|NOx|Work loss days", US_national_yearly!$D:$AM, 31, FALSE) / VLOOKUP("LULUCF|NOx|Work loss days", US_national_yearly!$D:$AM, 10, FALSE), 1)</f>
        <v>6.8009484937960177E-2</v>
      </c>
      <c r="X15" s="7">
        <f>$B15 * IFERROR(VLOOKUP("LULUCF|NOx|Work loss days", US_national_yearly!$D:$AM, 32, FALSE) / VLOOKUP("LULUCF|NOx|Work loss days", US_national_yearly!$D:$AM, 10, FALSE), 1)</f>
        <v>6.8413934408782462E-2</v>
      </c>
      <c r="Y15" s="7">
        <f>$B15 * IFERROR(VLOOKUP("LULUCF|NOx|Work loss days", US_national_yearly!$D:$AM, 33, FALSE) / VLOOKUP("LULUCF|NOx|Work loss days", US_national_yearly!$D:$AM, 10, FALSE), 1)</f>
        <v>6.8818383879604747E-2</v>
      </c>
      <c r="Z15" s="7">
        <f>$B15 * IFERROR(VLOOKUP("LULUCF|NOx|Work loss days", US_national_yearly!$D:$AM, 34, FALSE) / VLOOKUP("LULUCF|NOx|Work loss days", US_national_yearly!$D:$AM, 10, FALSE), 1)</f>
        <v>6.9222833350427046E-2</v>
      </c>
      <c r="AA15" s="7">
        <f>$B15 * IFERROR(VLOOKUP("LULUCF|NOx|Work loss days", US_national_yearly!$D:$AM, 35, FALSE) / VLOOKUP("LULUCF|NOx|Work loss days", US_national_yearly!$D:$AM, 10, FALSE), 1)</f>
        <v>6.9627282821249331E-2</v>
      </c>
      <c r="AB15" s="7">
        <f>$B15 * IFERROR(VLOOKUP("LULUCF|NOx|Work loss days", US_national_yearly!$D:$AM, 36, FALSE) / VLOOKUP("LULUCF|NOx|Work loss days", US_national_yearly!$D:$AM, 10, FALSE), 1)</f>
        <v>7.0031732292071616E-2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1.0765576077655267E-4</v>
      </c>
      <c r="C17" s="7">
        <f>$B17 * IFERROR(VLOOKUP("LULUCF|NOx|Cardiovascular hospital admissions", US_national_yearly!$D:$AM, 11, FALSE) / VLOOKUP("LULUCF|NOx|Cardiovascular hospital admissions", US_national_yearly!$D:$AM, 10, FALSE), 1)</f>
        <v>1.1081918565913231E-4</v>
      </c>
      <c r="D17" s="7">
        <f>$B17 * IFERROR(VLOOKUP("LULUCF|NOx|Cardiovascular hospital admissions", US_national_yearly!$D:$AM, 12, FALSE) / VLOOKUP("LULUCF|NOx|Cardiovascular hospital admissions", US_national_yearly!$D:$AM, 10, FALSE), 1)</f>
        <v>1.1398261054171192E-4</v>
      </c>
      <c r="E17" s="7">
        <f>$B17 * IFERROR(VLOOKUP("LULUCF|NOx|Cardiovascular hospital admissions", US_national_yearly!$D:$AM, 13, FALSE) / VLOOKUP("LULUCF|NOx|Cardiovascular hospital admissions", US_national_yearly!$D:$AM, 10, FALSE), 1)</f>
        <v>1.1714603542429154E-4</v>
      </c>
      <c r="F17" s="7">
        <f>$B17 * IFERROR(VLOOKUP("LULUCF|NOx|Cardiovascular hospital admissions", US_national_yearly!$D:$AM, 14, FALSE) / VLOOKUP("LULUCF|NOx|Cardiovascular hospital admissions", US_national_yearly!$D:$AM, 10, FALSE), 1)</f>
        <v>1.2030946030687118E-4</v>
      </c>
      <c r="G17" s="7">
        <f>$B17 * IFERROR(VLOOKUP("LULUCF|NOx|Cardiovascular hospital admissions", US_national_yearly!$D:$AM, 15, FALSE) / VLOOKUP("LULUCF|NOx|Cardiovascular hospital admissions", US_national_yearly!$D:$AM, 10, FALSE), 1)</f>
        <v>1.2331419079520198E-4</v>
      </c>
      <c r="H17" s="7">
        <f>$B17 * IFERROR(VLOOKUP("LULUCF|NOx|Cardiovascular hospital admissions", US_national_yearly!$D:$AM, 16, FALSE) / VLOOKUP("LULUCF|NOx|Cardiovascular hospital admissions", US_national_yearly!$D:$AM, 10, FALSE), 1)</f>
        <v>1.2631892128353277E-4</v>
      </c>
      <c r="I17" s="7">
        <f>$B17 * IFERROR(VLOOKUP("LULUCF|NOx|Cardiovascular hospital admissions", US_national_yearly!$D:$AM, 17, FALSE) / VLOOKUP("LULUCF|NOx|Cardiovascular hospital admissions", US_national_yearly!$D:$AM, 10, FALSE), 1)</f>
        <v>1.2884566782234543E-4</v>
      </c>
      <c r="J17" s="7">
        <f>$B17 * IFERROR(VLOOKUP("LULUCF|NOx|Cardiovascular hospital admissions", US_national_yearly!$D:$AM, 18, FALSE) / VLOOKUP("LULUCF|NOx|Cardiovascular hospital admissions", US_national_yearly!$D:$AM, 10, FALSE), 1)</f>
        <v>1.3137241436115806E-4</v>
      </c>
      <c r="K17" s="7">
        <f>$B17 * IFERROR(VLOOKUP("LULUCF|NOx|Cardiovascular hospital admissions", US_national_yearly!$D:$AM, 19, FALSE) / VLOOKUP("LULUCF|NOx|Cardiovascular hospital admissions", US_national_yearly!$D:$AM, 10, FALSE), 1)</f>
        <v>1.3389916089997072E-4</v>
      </c>
      <c r="L17" s="7">
        <f>$B17 * IFERROR(VLOOKUP("LULUCF|NOx|Cardiovascular hospital admissions", US_national_yearly!$D:$AM, 20, FALSE) / VLOOKUP("LULUCF|NOx|Cardiovascular hospital admissions", US_national_yearly!$D:$AM, 10, FALSE), 1)</f>
        <v>1.3642590743878337E-4</v>
      </c>
      <c r="M17" s="7">
        <f>$B17 * IFERROR(VLOOKUP("LULUCF|NOx|Cardiovascular hospital admissions", US_national_yearly!$D:$AM, 21, FALSE) / VLOOKUP("LULUCF|NOx|Cardiovascular hospital admissions", US_national_yearly!$D:$AM, 10, FALSE), 1)</f>
        <v>1.3895265397759603E-4</v>
      </c>
      <c r="N17" s="7">
        <f>$B17 * IFERROR(VLOOKUP("LULUCF|NOx|Cardiovascular hospital admissions", US_national_yearly!$D:$AM, 22, FALSE) / VLOOKUP("LULUCF|NOx|Cardiovascular hospital admissions", US_national_yearly!$D:$AM, 10, FALSE), 1)</f>
        <v>1.4053271231152098E-4</v>
      </c>
      <c r="O17" s="7">
        <f>$B17 * IFERROR(VLOOKUP("LULUCF|NOx|Cardiovascular hospital admissions", US_national_yearly!$D:$AM, 23, FALSE) / VLOOKUP("LULUCF|NOx|Cardiovascular hospital admissions", US_national_yearly!$D:$AM, 10, FALSE), 1)</f>
        <v>1.4211277064544593E-4</v>
      </c>
      <c r="P17" s="7">
        <f>$B17 * IFERROR(VLOOKUP("LULUCF|NOx|Cardiovascular hospital admissions", US_national_yearly!$D:$AM, 24, FALSE) / VLOOKUP("LULUCF|NOx|Cardiovascular hospital admissions", US_national_yearly!$D:$AM, 10, FALSE), 1)</f>
        <v>1.4369282897937089E-4</v>
      </c>
      <c r="Q17" s="7">
        <f>$B17 * IFERROR(VLOOKUP("LULUCF|NOx|Cardiovascular hospital admissions", US_national_yearly!$D:$AM, 25, FALSE) / VLOOKUP("LULUCF|NOx|Cardiovascular hospital admissions", US_national_yearly!$D:$AM, 10, FALSE), 1)</f>
        <v>1.4527288731329584E-4</v>
      </c>
      <c r="R17" s="7">
        <f>$B17 * IFERROR(VLOOKUP("LULUCF|NOx|Cardiovascular hospital admissions", US_national_yearly!$D:$AM, 26, FALSE) / VLOOKUP("LULUCF|NOx|Cardiovascular hospital admissions", US_national_yearly!$D:$AM, 10, FALSE), 1)</f>
        <v>1.4685294564722076E-4</v>
      </c>
      <c r="S17" s="7">
        <f>$B17 * IFERROR(VLOOKUP("LULUCF|NOx|Cardiovascular hospital admissions", US_national_yearly!$D:$AM, 27, FALSE) / VLOOKUP("LULUCF|NOx|Cardiovascular hospital admissions", US_national_yearly!$D:$AM, 10, FALSE), 1)</f>
        <v>1.4757388287582935E-4</v>
      </c>
      <c r="T17" s="7">
        <f>$B17 * IFERROR(VLOOKUP("LULUCF|NOx|Cardiovascular hospital admissions", US_national_yearly!$D:$AM, 28, FALSE) / VLOOKUP("LULUCF|NOx|Cardiovascular hospital admissions", US_national_yearly!$D:$AM, 10, FALSE), 1)</f>
        <v>1.4829482010443793E-4</v>
      </c>
      <c r="U17" s="7">
        <f>$B17 * IFERROR(VLOOKUP("LULUCF|NOx|Cardiovascular hospital admissions", US_national_yearly!$D:$AM, 29, FALSE) / VLOOKUP("LULUCF|NOx|Cardiovascular hospital admissions", US_national_yearly!$D:$AM, 10, FALSE), 1)</f>
        <v>1.4901575733304646E-4</v>
      </c>
      <c r="V17" s="7">
        <f>$B17 * IFERROR(VLOOKUP("LULUCF|NOx|Cardiovascular hospital admissions", US_national_yearly!$D:$AM, 30, FALSE) / VLOOKUP("LULUCF|NOx|Cardiovascular hospital admissions", US_national_yearly!$D:$AM, 10, FALSE), 1)</f>
        <v>1.4973669456165505E-4</v>
      </c>
      <c r="W17" s="7">
        <f>$B17 * IFERROR(VLOOKUP("LULUCF|NOx|Cardiovascular hospital admissions", US_national_yearly!$D:$AM, 31, FALSE) / VLOOKUP("LULUCF|NOx|Cardiovascular hospital admissions", US_national_yearly!$D:$AM, 10, FALSE), 1)</f>
        <v>1.5045763179026361E-4</v>
      </c>
      <c r="X17" s="7">
        <f>$B17 * IFERROR(VLOOKUP("LULUCF|NOx|Cardiovascular hospital admissions", US_national_yearly!$D:$AM, 32, FALSE) / VLOOKUP("LULUCF|NOx|Cardiovascular hospital admissions", US_national_yearly!$D:$AM, 10, FALSE), 1)</f>
        <v>1.5085885835260034E-4</v>
      </c>
      <c r="Y17" s="7">
        <f>$B17 * IFERROR(VLOOKUP("LULUCF|NOx|Cardiovascular hospital admissions", US_national_yearly!$D:$AM, 33, FALSE) / VLOOKUP("LULUCF|NOx|Cardiovascular hospital admissions", US_national_yearly!$D:$AM, 10, FALSE), 1)</f>
        <v>1.5126008491493705E-4</v>
      </c>
      <c r="Z17" s="7">
        <f>$B17 * IFERROR(VLOOKUP("LULUCF|NOx|Cardiovascular hospital admissions", US_national_yearly!$D:$AM, 34, FALSE) / VLOOKUP("LULUCF|NOx|Cardiovascular hospital admissions", US_national_yearly!$D:$AM, 10, FALSE), 1)</f>
        <v>1.5166131147727375E-4</v>
      </c>
      <c r="AA17" s="7">
        <f>$B17 * IFERROR(VLOOKUP("LULUCF|NOx|Cardiovascular hospital admissions", US_national_yearly!$D:$AM, 35, FALSE) / VLOOKUP("LULUCF|NOx|Cardiovascular hospital admissions", US_national_yearly!$D:$AM, 10, FALSE), 1)</f>
        <v>1.5206253803961046E-4</v>
      </c>
      <c r="AB17" s="7">
        <f>$B17 * IFERROR(VLOOKUP("LULUCF|NOx|Cardiovascular hospital admissions", US_national_yearly!$D:$AM, 36, FALSE) / VLOOKUP("LULUCF|NOx|Cardiovascular hospital admissions", US_national_yearly!$D:$AM, 10, FALSE), 1)</f>
        <v>1.5246376460194717E-4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1.0115354655992389E-3</v>
      </c>
      <c r="C2" s="7">
        <f>$B2 * IFERROR(VLOOKUP("LULUCF|SO2|Premature mortality", US_national_yearly!$D:$AM, 11, FALSE) / VLOOKUP("LULUCF|SO2|Premature mortality", US_national_yearly!$D:$AM, 10, FALSE), 1)</f>
        <v>1.0243460149651923E-3</v>
      </c>
      <c r="D2" s="7">
        <f>$B2 * IFERROR(VLOOKUP("LULUCF|SO2|Premature mortality", US_national_yearly!$D:$AM, 12, FALSE) / VLOOKUP("LULUCF|SO2|Premature mortality", US_national_yearly!$D:$AM, 10, FALSE), 1)</f>
        <v>1.0371565643311458E-3</v>
      </c>
      <c r="E2" s="7">
        <f>$B2 * IFERROR(VLOOKUP("LULUCF|SO2|Premature mortality", US_national_yearly!$D:$AM, 13, FALSE) / VLOOKUP("LULUCF|SO2|Premature mortality", US_national_yearly!$D:$AM, 10, FALSE), 1)</f>
        <v>1.0499671136970992E-3</v>
      </c>
      <c r="F2" s="7">
        <f>$B2 * IFERROR(VLOOKUP("LULUCF|SO2|Premature mortality", US_national_yearly!$D:$AM, 14, FALSE) / VLOOKUP("LULUCF|SO2|Premature mortality", US_national_yearly!$D:$AM, 10, FALSE), 1)</f>
        <v>1.0627776630630526E-3</v>
      </c>
      <c r="G2" s="7">
        <f>$B2 * IFERROR(VLOOKUP("LULUCF|SO2|Premature mortality", US_national_yearly!$D:$AM, 15, FALSE) / VLOOKUP("LULUCF|SO2|Premature mortality", US_national_yearly!$D:$AM, 10, FALSE), 1)</f>
        <v>1.0874628656680691E-3</v>
      </c>
      <c r="H2" s="7">
        <f>$B2 * IFERROR(VLOOKUP("LULUCF|SO2|Premature mortality", US_national_yearly!$D:$AM, 16, FALSE) / VLOOKUP("LULUCF|SO2|Premature mortality", US_national_yearly!$D:$AM, 10, FALSE), 1)</f>
        <v>1.1121480682730854E-3</v>
      </c>
      <c r="I2" s="7">
        <f>$B2 * IFERROR(VLOOKUP("LULUCF|SO2|Premature mortality", US_national_yearly!$D:$AM, 17, FALSE) / VLOOKUP("LULUCF|SO2|Premature mortality", US_national_yearly!$D:$AM, 10, FALSE), 1)</f>
        <v>1.1284615627160644E-3</v>
      </c>
      <c r="J2" s="7">
        <f>$B2 * IFERROR(VLOOKUP("LULUCF|SO2|Premature mortality", US_national_yearly!$D:$AM, 18, FALSE) / VLOOKUP("LULUCF|SO2|Premature mortality", US_national_yearly!$D:$AM, 10, FALSE), 1)</f>
        <v>1.1447750571590431E-3</v>
      </c>
      <c r="K2" s="7">
        <f>$B2 * IFERROR(VLOOKUP("LULUCF|SO2|Premature mortality", US_national_yearly!$D:$AM, 19, FALSE) / VLOOKUP("LULUCF|SO2|Premature mortality", US_national_yearly!$D:$AM, 10, FALSE), 1)</f>
        <v>1.1610885516020219E-3</v>
      </c>
      <c r="L2" s="7">
        <f>$B2 * IFERROR(VLOOKUP("LULUCF|SO2|Premature mortality", US_national_yearly!$D:$AM, 20, FALSE) / VLOOKUP("LULUCF|SO2|Premature mortality", US_national_yearly!$D:$AM, 10, FALSE), 1)</f>
        <v>1.1774020460450008E-3</v>
      </c>
      <c r="M2" s="7">
        <f>$B2 * IFERROR(VLOOKUP("LULUCF|SO2|Premature mortality", US_national_yearly!$D:$AM, 21, FALSE) / VLOOKUP("LULUCF|SO2|Premature mortality", US_national_yearly!$D:$AM, 10, FALSE), 1)</f>
        <v>1.1937155404879796E-3</v>
      </c>
      <c r="N2" s="7">
        <f>$B2 * IFERROR(VLOOKUP("LULUCF|SO2|Premature mortality", US_national_yearly!$D:$AM, 22, FALSE) / VLOOKUP("LULUCF|SO2|Premature mortality", US_national_yearly!$D:$AM, 10, FALSE), 1)</f>
        <v>1.2064620201573024E-3</v>
      </c>
      <c r="O2" s="7">
        <f>$B2 * IFERROR(VLOOKUP("LULUCF|SO2|Premature mortality", US_national_yearly!$D:$AM, 23, FALSE) / VLOOKUP("LULUCF|SO2|Premature mortality", US_national_yearly!$D:$AM, 10, FALSE), 1)</f>
        <v>1.219208499826625E-3</v>
      </c>
      <c r="P2" s="7">
        <f>$B2 * IFERROR(VLOOKUP("LULUCF|SO2|Premature mortality", US_national_yearly!$D:$AM, 24, FALSE) / VLOOKUP("LULUCF|SO2|Premature mortality", US_national_yearly!$D:$AM, 10, FALSE), 1)</f>
        <v>1.2319549794959478E-3</v>
      </c>
      <c r="Q2" s="7">
        <f>$B2 * IFERROR(VLOOKUP("LULUCF|SO2|Premature mortality", US_national_yearly!$D:$AM, 25, FALSE) / VLOOKUP("LULUCF|SO2|Premature mortality", US_national_yearly!$D:$AM, 10, FALSE), 1)</f>
        <v>1.2447014591652704E-3</v>
      </c>
      <c r="R2" s="7">
        <f>$B2 * IFERROR(VLOOKUP("LULUCF|SO2|Premature mortality", US_national_yearly!$D:$AM, 26, FALSE) / VLOOKUP("LULUCF|SO2|Premature mortality", US_national_yearly!$D:$AM, 10, FALSE), 1)</f>
        <v>1.257447938834593E-3</v>
      </c>
      <c r="S2" s="7">
        <f>$B2 * IFERROR(VLOOKUP("LULUCF|SO2|Premature mortality", US_national_yearly!$D:$AM, 27, FALSE) / VLOOKUP("LULUCF|SO2|Premature mortality", US_national_yearly!$D:$AM, 10, FALSE), 1)</f>
        <v>1.2642738484194319E-3</v>
      </c>
      <c r="T2" s="7">
        <f>$B2 * IFERROR(VLOOKUP("LULUCF|SO2|Premature mortality", US_national_yearly!$D:$AM, 28, FALSE) / VLOOKUP("LULUCF|SO2|Premature mortality", US_national_yearly!$D:$AM, 10, FALSE), 1)</f>
        <v>1.2710997580042704E-3</v>
      </c>
      <c r="U2" s="7">
        <f>$B2 * IFERROR(VLOOKUP("LULUCF|SO2|Premature mortality", US_national_yearly!$D:$AM, 29, FALSE) / VLOOKUP("LULUCF|SO2|Premature mortality", US_national_yearly!$D:$AM, 10, FALSE), 1)</f>
        <v>1.2779256675891091E-3</v>
      </c>
      <c r="V2" s="7">
        <f>$B2 * IFERROR(VLOOKUP("LULUCF|SO2|Premature mortality", US_national_yearly!$D:$AM, 30, FALSE) / VLOOKUP("LULUCF|SO2|Premature mortality", US_national_yearly!$D:$AM, 10, FALSE), 1)</f>
        <v>1.2847515771739477E-3</v>
      </c>
      <c r="W2" s="7">
        <f>$B2 * IFERROR(VLOOKUP("LULUCF|SO2|Premature mortality", US_national_yearly!$D:$AM, 31, FALSE) / VLOOKUP("LULUCF|SO2|Premature mortality", US_national_yearly!$D:$AM, 10, FALSE), 1)</f>
        <v>1.2915774867587866E-3</v>
      </c>
      <c r="X2" s="7">
        <f>$B2 * IFERROR(VLOOKUP("LULUCF|SO2|Premature mortality", US_national_yearly!$D:$AM, 32, FALSE) / VLOOKUP("LULUCF|SO2|Premature mortality", US_national_yearly!$D:$AM, 10, FALSE), 1)</f>
        <v>1.2929641911698338E-3</v>
      </c>
      <c r="Y2" s="7">
        <f>$B2 * IFERROR(VLOOKUP("LULUCF|SO2|Premature mortality", US_national_yearly!$D:$AM, 33, FALSE) / VLOOKUP("LULUCF|SO2|Premature mortality", US_national_yearly!$D:$AM, 10, FALSE), 1)</f>
        <v>1.2943508955808813E-3</v>
      </c>
      <c r="Z2" s="7">
        <f>$B2 * IFERROR(VLOOKUP("LULUCF|SO2|Premature mortality", US_national_yearly!$D:$AM, 34, FALSE) / VLOOKUP("LULUCF|SO2|Premature mortality", US_national_yearly!$D:$AM, 10, FALSE), 1)</f>
        <v>1.2957375999919287E-3</v>
      </c>
      <c r="AA2" s="7">
        <f>$B2 * IFERROR(VLOOKUP("LULUCF|SO2|Premature mortality", US_national_yearly!$D:$AM, 35, FALSE) / VLOOKUP("LULUCF|SO2|Premature mortality", US_national_yearly!$D:$AM, 10, FALSE), 1)</f>
        <v>1.2971243044029761E-3</v>
      </c>
      <c r="AB2" s="7">
        <f>$B2 * IFERROR(VLOOKUP("LULUCF|SO2|Premature mortality", US_national_yearly!$D:$AM, 36, FALSE) / VLOOKUP("LULUCF|SO2|Premature mortality", US_national_yearly!$D:$AM, 10, FALSE), 1)</f>
        <v>1.2985110088140233E-3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2.045069368979649E-6</v>
      </c>
      <c r="C3" s="7">
        <f>$B3 * IFERROR(VLOOKUP("LULUCF|SO2|Infant mortality", US_national_yearly!$D:$AM, 11, FALSE) / VLOOKUP("LULUCF|SO2|Infant mortality", US_national_yearly!$D:$AM, 10, FALSE), 1)</f>
        <v>2.0275018500680678E-6</v>
      </c>
      <c r="D3" s="7">
        <f>$B3 * IFERROR(VLOOKUP("LULUCF|SO2|Infant mortality", US_national_yearly!$D:$AM, 12, FALSE) / VLOOKUP("LULUCF|SO2|Infant mortality", US_national_yearly!$D:$AM, 10, FALSE), 1)</f>
        <v>2.0099343311564869E-6</v>
      </c>
      <c r="E3" s="7">
        <f>$B3 * IFERROR(VLOOKUP("LULUCF|SO2|Infant mortality", US_national_yearly!$D:$AM, 13, FALSE) / VLOOKUP("LULUCF|SO2|Infant mortality", US_national_yearly!$D:$AM, 10, FALSE), 1)</f>
        <v>1.9923668122449057E-6</v>
      </c>
      <c r="F3" s="7">
        <f>$B3 * IFERROR(VLOOKUP("LULUCF|SO2|Infant mortality", US_national_yearly!$D:$AM, 14, FALSE) / VLOOKUP("LULUCF|SO2|Infant mortality", US_national_yearly!$D:$AM, 10, FALSE), 1)</f>
        <v>1.9747992933333248E-6</v>
      </c>
      <c r="G3" s="7">
        <f>$B3 * IFERROR(VLOOKUP("LULUCF|SO2|Infant mortality", US_national_yearly!$D:$AM, 15, FALSE) / VLOOKUP("LULUCF|SO2|Infant mortality", US_national_yearly!$D:$AM, 10, FALSE), 1)</f>
        <v>1.3153753828166268E-6</v>
      </c>
      <c r="H3" s="7">
        <f>$B3 * IFERROR(VLOOKUP("LULUCF|SO2|Infant mortality", US_national_yearly!$D:$AM, 16, FALSE) / VLOOKUP("LULUCF|SO2|Infant mortality", US_national_yearly!$D:$AM, 10, FALSE), 1)</f>
        <v>6.5595147229992969E-7</v>
      </c>
      <c r="I3" s="7">
        <f>$B3 * IFERROR(VLOOKUP("LULUCF|SO2|Infant mortality", US_national_yearly!$D:$AM, 17, FALSE) / VLOOKUP("LULUCF|SO2|Infant mortality", US_national_yearly!$D:$AM, 10, FALSE), 1)</f>
        <v>6.5183649063385431E-7</v>
      </c>
      <c r="J3" s="7">
        <f>$B3 * IFERROR(VLOOKUP("LULUCF|SO2|Infant mortality", US_national_yearly!$D:$AM, 18, FALSE) / VLOOKUP("LULUCF|SO2|Infant mortality", US_national_yearly!$D:$AM, 10, FALSE), 1)</f>
        <v>6.4772150896777892E-7</v>
      </c>
      <c r="K3" s="7">
        <f>$B3 * IFERROR(VLOOKUP("LULUCF|SO2|Infant mortality", US_national_yearly!$D:$AM, 19, FALSE) / VLOOKUP("LULUCF|SO2|Infant mortality", US_national_yearly!$D:$AM, 10, FALSE), 1)</f>
        <v>6.4360652730170343E-7</v>
      </c>
      <c r="L3" s="7">
        <f>$B3 * IFERROR(VLOOKUP("LULUCF|SO2|Infant mortality", US_national_yearly!$D:$AM, 20, FALSE) / VLOOKUP("LULUCF|SO2|Infant mortality", US_national_yearly!$D:$AM, 10, FALSE), 1)</f>
        <v>6.3949154563562815E-7</v>
      </c>
      <c r="M3" s="7">
        <f>$B3 * IFERROR(VLOOKUP("LULUCF|SO2|Infant mortality", US_national_yearly!$D:$AM, 21, FALSE) / VLOOKUP("LULUCF|SO2|Infant mortality", US_national_yearly!$D:$AM, 10, FALSE), 1)</f>
        <v>6.3537656396955265E-7</v>
      </c>
      <c r="N3" s="7">
        <f>$B3 * IFERROR(VLOOKUP("LULUCF|SO2|Infant mortality", US_national_yearly!$D:$AM, 22, FALSE) / VLOOKUP("LULUCF|SO2|Infant mortality", US_national_yearly!$D:$AM, 10, FALSE), 1)</f>
        <v>6.3279362078523495E-7</v>
      </c>
      <c r="O3" s="7">
        <f>$B3 * IFERROR(VLOOKUP("LULUCF|SO2|Infant mortality", US_national_yearly!$D:$AM, 23, FALSE) / VLOOKUP("LULUCF|SO2|Infant mortality", US_national_yearly!$D:$AM, 10, FALSE), 1)</f>
        <v>6.3021067760091725E-7</v>
      </c>
      <c r="P3" s="7">
        <f>$B3 * IFERROR(VLOOKUP("LULUCF|SO2|Infant mortality", US_national_yearly!$D:$AM, 24, FALSE) / VLOOKUP("LULUCF|SO2|Infant mortality", US_national_yearly!$D:$AM, 10, FALSE), 1)</f>
        <v>6.2762773441659945E-7</v>
      </c>
      <c r="Q3" s="7">
        <f>$B3 * IFERROR(VLOOKUP("LULUCF|SO2|Infant mortality", US_national_yearly!$D:$AM, 25, FALSE) / VLOOKUP("LULUCF|SO2|Infant mortality", US_national_yearly!$D:$AM, 10, FALSE), 1)</f>
        <v>6.2504479123228164E-7</v>
      </c>
      <c r="R3" s="7">
        <f>$B3 * IFERROR(VLOOKUP("LULUCF|SO2|Infant mortality", US_national_yearly!$D:$AM, 26, FALSE) / VLOOKUP("LULUCF|SO2|Infant mortality", US_national_yearly!$D:$AM, 10, FALSE), 1)</f>
        <v>6.2246184804796383E-7</v>
      </c>
      <c r="S3" s="7">
        <f>$B3 * IFERROR(VLOOKUP("LULUCF|SO2|Infant mortality", US_national_yearly!$D:$AM, 27, FALSE) / VLOOKUP("LULUCF|SO2|Infant mortality", US_national_yearly!$D:$AM, 10, FALSE), 1)</f>
        <v>6.1921880552378576E-7</v>
      </c>
      <c r="T3" s="7">
        <f>$B3 * IFERROR(VLOOKUP("LULUCF|SO2|Infant mortality", US_national_yearly!$D:$AM, 28, FALSE) / VLOOKUP("LULUCF|SO2|Infant mortality", US_national_yearly!$D:$AM, 10, FALSE), 1)</f>
        <v>6.1597576299960769E-7</v>
      </c>
      <c r="U3" s="7">
        <f>$B3 * IFERROR(VLOOKUP("LULUCF|SO2|Infant mortality", US_national_yearly!$D:$AM, 29, FALSE) / VLOOKUP("LULUCF|SO2|Infant mortality", US_national_yearly!$D:$AM, 10, FALSE), 1)</f>
        <v>6.127327204754294E-7</v>
      </c>
      <c r="V3" s="7">
        <f>$B3 * IFERROR(VLOOKUP("LULUCF|SO2|Infant mortality", US_national_yearly!$D:$AM, 30, FALSE) / VLOOKUP("LULUCF|SO2|Infant mortality", US_national_yearly!$D:$AM, 10, FALSE), 1)</f>
        <v>6.0948967795125144E-7</v>
      </c>
      <c r="W3" s="7">
        <f>$B3 * IFERROR(VLOOKUP("LULUCF|SO2|Infant mortality", US_national_yearly!$D:$AM, 31, FALSE) / VLOOKUP("LULUCF|SO2|Infant mortality", US_national_yearly!$D:$AM, 10, FALSE), 1)</f>
        <v>6.0624663542707326E-7</v>
      </c>
      <c r="X3" s="7">
        <f>$B3 * IFERROR(VLOOKUP("LULUCF|SO2|Infant mortality", US_national_yearly!$D:$AM, 32, FALSE) / VLOOKUP("LULUCF|SO2|Infant mortality", US_national_yearly!$D:$AM, 10, FALSE), 1)</f>
        <v>6.0270098891149178E-7</v>
      </c>
      <c r="Y3" s="7">
        <f>$B3 * IFERROR(VLOOKUP("LULUCF|SO2|Infant mortality", US_national_yearly!$D:$AM, 33, FALSE) / VLOOKUP("LULUCF|SO2|Infant mortality", US_national_yearly!$D:$AM, 10, FALSE), 1)</f>
        <v>5.991553423959101E-7</v>
      </c>
      <c r="Z3" s="7">
        <f>$B3 * IFERROR(VLOOKUP("LULUCF|SO2|Infant mortality", US_national_yearly!$D:$AM, 34, FALSE) / VLOOKUP("LULUCF|SO2|Infant mortality", US_national_yearly!$D:$AM, 10, FALSE), 1)</f>
        <v>5.9560969588032862E-7</v>
      </c>
      <c r="AA3" s="7">
        <f>$B3 * IFERROR(VLOOKUP("LULUCF|SO2|Infant mortality", US_national_yearly!$D:$AM, 35, FALSE) / VLOOKUP("LULUCF|SO2|Infant mortality", US_national_yearly!$D:$AM, 10, FALSE), 1)</f>
        <v>5.9206404936474694E-7</v>
      </c>
      <c r="AB3" s="7">
        <f>$B3 * IFERROR(VLOOKUP("LULUCF|SO2|Infant mortality", US_national_yearly!$D:$AM, 36, FALSE) / VLOOKUP("LULUCF|SO2|Infant mortality", US_national_yearly!$D:$AM, 10, FALSE), 1)</f>
        <v>5.8851840284916536E-7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2.6061258444251985E-3</v>
      </c>
      <c r="C6" s="7">
        <f>$B6 * IFERROR(VLOOKUP("LULUCF|SO2|Asthma symptoms cough", US_national_yearly!$D:$AM, 11, FALSE) / VLOOKUP("LULUCF|SO2|Asthma symptoms cough", US_national_yearly!$D:$AM, 10, FALSE), 1)</f>
        <v>2.6061258444251985E-3</v>
      </c>
      <c r="D6" s="7">
        <f>$B6 * IFERROR(VLOOKUP("LULUCF|SO2|Asthma symptoms cough", US_national_yearly!$D:$AM, 12, FALSE) / VLOOKUP("LULUCF|SO2|Asthma symptoms cough", US_national_yearly!$D:$AM, 10, FALSE), 1)</f>
        <v>2.6061258444251985E-3</v>
      </c>
      <c r="E6" s="7">
        <f>$B6 * IFERROR(VLOOKUP("LULUCF|SO2|Asthma symptoms cough", US_national_yearly!$D:$AM, 13, FALSE) / VLOOKUP("LULUCF|SO2|Asthma symptoms cough", US_national_yearly!$D:$AM, 10, FALSE), 1)</f>
        <v>2.6061258444251985E-3</v>
      </c>
      <c r="F6" s="7">
        <f>$B6 * IFERROR(VLOOKUP("LULUCF|SO2|Asthma symptoms cough", US_national_yearly!$D:$AM, 14, FALSE) / VLOOKUP("LULUCF|SO2|Asthma symptoms cough", US_national_yearly!$D:$AM, 10, FALSE), 1)</f>
        <v>2.6061258444251985E-3</v>
      </c>
      <c r="G6" s="7">
        <f>$B6 * IFERROR(VLOOKUP("LULUCF|SO2|Asthma symptoms cough", US_national_yearly!$D:$AM, 15, FALSE) / VLOOKUP("LULUCF|SO2|Asthma symptoms cough", US_national_yearly!$D:$AM, 10, FALSE), 1)</f>
        <v>2.6061258444251985E-3</v>
      </c>
      <c r="H6" s="7">
        <f>$B6 * IFERROR(VLOOKUP("LULUCF|SO2|Asthma symptoms cough", US_national_yearly!$D:$AM, 16, FALSE) / VLOOKUP("LULUCF|SO2|Asthma symptoms cough", US_national_yearly!$D:$AM, 10, FALSE), 1)</f>
        <v>2.6061258444251985E-3</v>
      </c>
      <c r="I6" s="7">
        <f>$B6 * IFERROR(VLOOKUP("LULUCF|SO2|Asthma symptoms cough", US_national_yearly!$D:$AM, 17, FALSE) / VLOOKUP("LULUCF|SO2|Asthma symptoms cough", US_national_yearly!$D:$AM, 10, FALSE), 1)</f>
        <v>2.6061258444251985E-3</v>
      </c>
      <c r="J6" s="7">
        <f>$B6 * IFERROR(VLOOKUP("LULUCF|SO2|Asthma symptoms cough", US_national_yearly!$D:$AM, 18, FALSE) / VLOOKUP("LULUCF|SO2|Asthma symptoms cough", US_national_yearly!$D:$AM, 10, FALSE), 1)</f>
        <v>2.6061258444251985E-3</v>
      </c>
      <c r="K6" s="7">
        <f>$B6 * IFERROR(VLOOKUP("LULUCF|SO2|Asthma symptoms cough", US_national_yearly!$D:$AM, 19, FALSE) / VLOOKUP("LULUCF|SO2|Asthma symptoms cough", US_national_yearly!$D:$AM, 10, FALSE), 1)</f>
        <v>2.6061258444251985E-3</v>
      </c>
      <c r="L6" s="7">
        <f>$B6 * IFERROR(VLOOKUP("LULUCF|SO2|Asthma symptoms cough", US_national_yearly!$D:$AM, 20, FALSE) / VLOOKUP("LULUCF|SO2|Asthma symptoms cough", US_national_yearly!$D:$AM, 10, FALSE), 1)</f>
        <v>2.6061258444251985E-3</v>
      </c>
      <c r="M6" s="7">
        <f>$B6 * IFERROR(VLOOKUP("LULUCF|SO2|Asthma symptoms cough", US_national_yearly!$D:$AM, 21, FALSE) / VLOOKUP("LULUCF|SO2|Asthma symptoms cough", US_national_yearly!$D:$AM, 10, FALSE), 1)</f>
        <v>2.6061258444251985E-3</v>
      </c>
      <c r="N6" s="7">
        <f>$B6 * IFERROR(VLOOKUP("LULUCF|SO2|Asthma symptoms cough", US_national_yearly!$D:$AM, 22, FALSE) / VLOOKUP("LULUCF|SO2|Asthma symptoms cough", US_national_yearly!$D:$AM, 10, FALSE), 1)</f>
        <v>2.6061258444251985E-3</v>
      </c>
      <c r="O6" s="7">
        <f>$B6 * IFERROR(VLOOKUP("LULUCF|SO2|Asthma symptoms cough", US_national_yearly!$D:$AM, 23, FALSE) / VLOOKUP("LULUCF|SO2|Asthma symptoms cough", US_national_yearly!$D:$AM, 10, FALSE), 1)</f>
        <v>2.6061258444251985E-3</v>
      </c>
      <c r="P6" s="7">
        <f>$B6 * IFERROR(VLOOKUP("LULUCF|SO2|Asthma symptoms cough", US_national_yearly!$D:$AM, 24, FALSE) / VLOOKUP("LULUCF|SO2|Asthma symptoms cough", US_national_yearly!$D:$AM, 10, FALSE), 1)</f>
        <v>2.6061258444251985E-3</v>
      </c>
      <c r="Q6" s="7">
        <f>$B6 * IFERROR(VLOOKUP("LULUCF|SO2|Asthma symptoms cough", US_national_yearly!$D:$AM, 25, FALSE) / VLOOKUP("LULUCF|SO2|Asthma symptoms cough", US_national_yearly!$D:$AM, 10, FALSE), 1)</f>
        <v>2.6061258444251985E-3</v>
      </c>
      <c r="R6" s="7">
        <f>$B6 * IFERROR(VLOOKUP("LULUCF|SO2|Asthma symptoms cough", US_national_yearly!$D:$AM, 26, FALSE) / VLOOKUP("LULUCF|SO2|Asthma symptoms cough", US_national_yearly!$D:$AM, 10, FALSE), 1)</f>
        <v>2.6061258444251985E-3</v>
      </c>
      <c r="S6" s="7">
        <f>$B6 * IFERROR(VLOOKUP("LULUCF|SO2|Asthma symptoms cough", US_national_yearly!$D:$AM, 27, FALSE) / VLOOKUP("LULUCF|SO2|Asthma symptoms cough", US_national_yearly!$D:$AM, 10, FALSE), 1)</f>
        <v>2.6061258444251985E-3</v>
      </c>
      <c r="T6" s="7">
        <f>$B6 * IFERROR(VLOOKUP("LULUCF|SO2|Asthma symptoms cough", US_national_yearly!$D:$AM, 28, FALSE) / VLOOKUP("LULUCF|SO2|Asthma symptoms cough", US_national_yearly!$D:$AM, 10, FALSE), 1)</f>
        <v>2.6061258444251985E-3</v>
      </c>
      <c r="U6" s="7">
        <f>$B6 * IFERROR(VLOOKUP("LULUCF|SO2|Asthma symptoms cough", US_national_yearly!$D:$AM, 29, FALSE) / VLOOKUP("LULUCF|SO2|Asthma symptoms cough", US_national_yearly!$D:$AM, 10, FALSE), 1)</f>
        <v>2.6061258444251985E-3</v>
      </c>
      <c r="V6" s="7">
        <f>$B6 * IFERROR(VLOOKUP("LULUCF|SO2|Asthma symptoms cough", US_national_yearly!$D:$AM, 30, FALSE) / VLOOKUP("LULUCF|SO2|Asthma symptoms cough", US_national_yearly!$D:$AM, 10, FALSE), 1)</f>
        <v>2.6061258444251985E-3</v>
      </c>
      <c r="W6" s="7">
        <f>$B6 * IFERROR(VLOOKUP("LULUCF|SO2|Asthma symptoms cough", US_national_yearly!$D:$AM, 31, FALSE) / VLOOKUP("LULUCF|SO2|Asthma symptoms cough", US_national_yearly!$D:$AM, 10, FALSE), 1)</f>
        <v>2.6061258444251985E-3</v>
      </c>
      <c r="X6" s="7">
        <f>$B6 * IFERROR(VLOOKUP("LULUCF|SO2|Asthma symptoms cough", US_national_yearly!$D:$AM, 32, FALSE) / VLOOKUP("LULUCF|SO2|Asthma symptoms cough", US_national_yearly!$D:$AM, 10, FALSE), 1)</f>
        <v>2.6061258444251985E-3</v>
      </c>
      <c r="Y6" s="7">
        <f>$B6 * IFERROR(VLOOKUP("LULUCF|SO2|Asthma symptoms cough", US_national_yearly!$D:$AM, 33, FALSE) / VLOOKUP("LULUCF|SO2|Asthma symptoms cough", US_national_yearly!$D:$AM, 10, FALSE), 1)</f>
        <v>2.6061258444251985E-3</v>
      </c>
      <c r="Z6" s="7">
        <f>$B6 * IFERROR(VLOOKUP("LULUCF|SO2|Asthma symptoms cough", US_national_yearly!$D:$AM, 34, FALSE) / VLOOKUP("LULUCF|SO2|Asthma symptoms cough", US_national_yearly!$D:$AM, 10, FALSE), 1)</f>
        <v>2.6061258444251985E-3</v>
      </c>
      <c r="AA6" s="7">
        <f>$B6 * IFERROR(VLOOKUP("LULUCF|SO2|Asthma symptoms cough", US_national_yearly!$D:$AM, 35, FALSE) / VLOOKUP("LULUCF|SO2|Asthma symptoms cough", US_national_yearly!$D:$AM, 10, FALSE), 1)</f>
        <v>2.6061258444251985E-3</v>
      </c>
      <c r="AB6" s="7">
        <f>$B6 * IFERROR(VLOOKUP("LULUCF|SO2|Asthma symptoms cough", US_national_yearly!$D:$AM, 36, FALSE) / VLOOKUP("LULUCF|SO2|Asthma symptoms cough", US_national_yearly!$D:$AM, 10, FALSE), 1)</f>
        <v>2.6061258444251985E-3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3.5095180846579856E-3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3.5095180846579856E-3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3.5095180846579856E-3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3.5095180846579856E-3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3.5095180846579856E-3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3.5095180846579856E-3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3.5095180846579856E-3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3.5095180846579856E-3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3.5095180846579856E-3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3.5095180846579856E-3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3.5095180846579856E-3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3.5095180846579856E-3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3.5095180846579856E-3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3.5095180846579856E-3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3.5095180846579856E-3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3.5095180846579856E-3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3.5095180846579856E-3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3.5095180846579856E-3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3.5095180846579856E-3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3.5095180846579856E-3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3.5095180846579856E-3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3.5095180846579856E-3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3.5095180846579856E-3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3.5095180846579856E-3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3.5095180846579856E-3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3.5095180846579856E-3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3.5095180846579856E-3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5.3619792634888308E-3</v>
      </c>
      <c r="C8" s="7">
        <f>$B8 * IFERROR(VLOOKUP("LULUCF|SO2|Asthma symptoms wheeze", US_national_yearly!$D:$AM, 11, FALSE) / VLOOKUP("LULUCF|SO2|Asthma symptoms wheeze", US_national_yearly!$D:$AM, 10, FALSE), 1)</f>
        <v>5.3619792634888308E-3</v>
      </c>
      <c r="D8" s="7">
        <f>$B8 * IFERROR(VLOOKUP("LULUCF|SO2|Asthma symptoms wheeze", US_national_yearly!$D:$AM, 12, FALSE) / VLOOKUP("LULUCF|SO2|Asthma symptoms wheeze", US_national_yearly!$D:$AM, 10, FALSE), 1)</f>
        <v>5.3619792634888308E-3</v>
      </c>
      <c r="E8" s="7">
        <f>$B8 * IFERROR(VLOOKUP("LULUCF|SO2|Asthma symptoms wheeze", US_national_yearly!$D:$AM, 13, FALSE) / VLOOKUP("LULUCF|SO2|Asthma symptoms wheeze", US_national_yearly!$D:$AM, 10, FALSE), 1)</f>
        <v>5.3619792634888308E-3</v>
      </c>
      <c r="F8" s="7">
        <f>$B8 * IFERROR(VLOOKUP("LULUCF|SO2|Asthma symptoms wheeze", US_national_yearly!$D:$AM, 14, FALSE) / VLOOKUP("LULUCF|SO2|Asthma symptoms wheeze", US_national_yearly!$D:$AM, 10, FALSE), 1)</f>
        <v>5.3619792634888308E-3</v>
      </c>
      <c r="G8" s="7">
        <f>$B8 * IFERROR(VLOOKUP("LULUCF|SO2|Asthma symptoms wheeze", US_national_yearly!$D:$AM, 15, FALSE) / VLOOKUP("LULUCF|SO2|Asthma symptoms wheeze", US_national_yearly!$D:$AM, 10, FALSE), 1)</f>
        <v>5.3619792634888308E-3</v>
      </c>
      <c r="H8" s="7">
        <f>$B8 * IFERROR(VLOOKUP("LULUCF|SO2|Asthma symptoms wheeze", US_national_yearly!$D:$AM, 16, FALSE) / VLOOKUP("LULUCF|SO2|Asthma symptoms wheeze", US_national_yearly!$D:$AM, 10, FALSE), 1)</f>
        <v>5.3619792634888308E-3</v>
      </c>
      <c r="I8" s="7">
        <f>$B8 * IFERROR(VLOOKUP("LULUCF|SO2|Asthma symptoms wheeze", US_national_yearly!$D:$AM, 17, FALSE) / VLOOKUP("LULUCF|SO2|Asthma symptoms wheeze", US_national_yearly!$D:$AM, 10, FALSE), 1)</f>
        <v>5.3619792634888308E-3</v>
      </c>
      <c r="J8" s="7">
        <f>$B8 * IFERROR(VLOOKUP("LULUCF|SO2|Asthma symptoms wheeze", US_national_yearly!$D:$AM, 18, FALSE) / VLOOKUP("LULUCF|SO2|Asthma symptoms wheeze", US_national_yearly!$D:$AM, 10, FALSE), 1)</f>
        <v>5.3619792634888308E-3</v>
      </c>
      <c r="K8" s="7">
        <f>$B8 * IFERROR(VLOOKUP("LULUCF|SO2|Asthma symptoms wheeze", US_national_yearly!$D:$AM, 19, FALSE) / VLOOKUP("LULUCF|SO2|Asthma symptoms wheeze", US_national_yearly!$D:$AM, 10, FALSE), 1)</f>
        <v>5.3619792634888308E-3</v>
      </c>
      <c r="L8" s="7">
        <f>$B8 * IFERROR(VLOOKUP("LULUCF|SO2|Asthma symptoms wheeze", US_national_yearly!$D:$AM, 20, FALSE) / VLOOKUP("LULUCF|SO2|Asthma symptoms wheeze", US_national_yearly!$D:$AM, 10, FALSE), 1)</f>
        <v>5.3619792634888308E-3</v>
      </c>
      <c r="M8" s="7">
        <f>$B8 * IFERROR(VLOOKUP("LULUCF|SO2|Asthma symptoms wheeze", US_national_yearly!$D:$AM, 21, FALSE) / VLOOKUP("LULUCF|SO2|Asthma symptoms wheeze", US_national_yearly!$D:$AM, 10, FALSE), 1)</f>
        <v>5.3619792634888308E-3</v>
      </c>
      <c r="N8" s="7">
        <f>$B8 * IFERROR(VLOOKUP("LULUCF|SO2|Asthma symptoms wheeze", US_national_yearly!$D:$AM, 22, FALSE) / VLOOKUP("LULUCF|SO2|Asthma symptoms wheeze", US_national_yearly!$D:$AM, 10, FALSE), 1)</f>
        <v>5.3619792634888308E-3</v>
      </c>
      <c r="O8" s="7">
        <f>$B8 * IFERROR(VLOOKUP("LULUCF|SO2|Asthma symptoms wheeze", US_national_yearly!$D:$AM, 23, FALSE) / VLOOKUP("LULUCF|SO2|Asthma symptoms wheeze", US_national_yearly!$D:$AM, 10, FALSE), 1)</f>
        <v>5.3619792634888308E-3</v>
      </c>
      <c r="P8" s="7">
        <f>$B8 * IFERROR(VLOOKUP("LULUCF|SO2|Asthma symptoms wheeze", US_national_yearly!$D:$AM, 24, FALSE) / VLOOKUP("LULUCF|SO2|Asthma symptoms wheeze", US_national_yearly!$D:$AM, 10, FALSE), 1)</f>
        <v>5.3619792634888308E-3</v>
      </c>
      <c r="Q8" s="7">
        <f>$B8 * IFERROR(VLOOKUP("LULUCF|SO2|Asthma symptoms wheeze", US_national_yearly!$D:$AM, 25, FALSE) / VLOOKUP("LULUCF|SO2|Asthma symptoms wheeze", US_national_yearly!$D:$AM, 10, FALSE), 1)</f>
        <v>5.3619792634888308E-3</v>
      </c>
      <c r="R8" s="7">
        <f>$B8 * IFERROR(VLOOKUP("LULUCF|SO2|Asthma symptoms wheeze", US_national_yearly!$D:$AM, 26, FALSE) / VLOOKUP("LULUCF|SO2|Asthma symptoms wheeze", US_national_yearly!$D:$AM, 10, FALSE), 1)</f>
        <v>5.3619792634888308E-3</v>
      </c>
      <c r="S8" s="7">
        <f>$B8 * IFERROR(VLOOKUP("LULUCF|SO2|Asthma symptoms wheeze", US_national_yearly!$D:$AM, 27, FALSE) / VLOOKUP("LULUCF|SO2|Asthma symptoms wheeze", US_national_yearly!$D:$AM, 10, FALSE), 1)</f>
        <v>5.3619792634888308E-3</v>
      </c>
      <c r="T8" s="7">
        <f>$B8 * IFERROR(VLOOKUP("LULUCF|SO2|Asthma symptoms wheeze", US_national_yearly!$D:$AM, 28, FALSE) / VLOOKUP("LULUCF|SO2|Asthma symptoms wheeze", US_national_yearly!$D:$AM, 10, FALSE), 1)</f>
        <v>5.3619792634888308E-3</v>
      </c>
      <c r="U8" s="7">
        <f>$B8 * IFERROR(VLOOKUP("LULUCF|SO2|Asthma symptoms wheeze", US_national_yearly!$D:$AM, 29, FALSE) / VLOOKUP("LULUCF|SO2|Asthma symptoms wheeze", US_national_yearly!$D:$AM, 10, FALSE), 1)</f>
        <v>5.3619792634888308E-3</v>
      </c>
      <c r="V8" s="7">
        <f>$B8 * IFERROR(VLOOKUP("LULUCF|SO2|Asthma symptoms wheeze", US_national_yearly!$D:$AM, 30, FALSE) / VLOOKUP("LULUCF|SO2|Asthma symptoms wheeze", US_national_yearly!$D:$AM, 10, FALSE), 1)</f>
        <v>5.3619792634888308E-3</v>
      </c>
      <c r="W8" s="7">
        <f>$B8 * IFERROR(VLOOKUP("LULUCF|SO2|Asthma symptoms wheeze", US_national_yearly!$D:$AM, 31, FALSE) / VLOOKUP("LULUCF|SO2|Asthma symptoms wheeze", US_national_yearly!$D:$AM, 10, FALSE), 1)</f>
        <v>5.3619792634888308E-3</v>
      </c>
      <c r="X8" s="7">
        <f>$B8 * IFERROR(VLOOKUP("LULUCF|SO2|Asthma symptoms wheeze", US_national_yearly!$D:$AM, 32, FALSE) / VLOOKUP("LULUCF|SO2|Asthma symptoms wheeze", US_national_yearly!$D:$AM, 10, FALSE), 1)</f>
        <v>5.3619792634888308E-3</v>
      </c>
      <c r="Y8" s="7">
        <f>$B8 * IFERROR(VLOOKUP("LULUCF|SO2|Asthma symptoms wheeze", US_national_yearly!$D:$AM, 33, FALSE) / VLOOKUP("LULUCF|SO2|Asthma symptoms wheeze", US_national_yearly!$D:$AM, 10, FALSE), 1)</f>
        <v>5.3619792634888308E-3</v>
      </c>
      <c r="Z8" s="7">
        <f>$B8 * IFERROR(VLOOKUP("LULUCF|SO2|Asthma symptoms wheeze", US_national_yearly!$D:$AM, 34, FALSE) / VLOOKUP("LULUCF|SO2|Asthma symptoms wheeze", US_national_yearly!$D:$AM, 10, FALSE), 1)</f>
        <v>5.3619792634888308E-3</v>
      </c>
      <c r="AA8" s="7">
        <f>$B8 * IFERROR(VLOOKUP("LULUCF|SO2|Asthma symptoms wheeze", US_national_yearly!$D:$AM, 35, FALSE) / VLOOKUP("LULUCF|SO2|Asthma symptoms wheeze", US_national_yearly!$D:$AM, 10, FALSE), 1)</f>
        <v>5.3619792634888308E-3</v>
      </c>
      <c r="AB8" s="7">
        <f>$B8 * IFERROR(VLOOKUP("LULUCF|SO2|Asthma symptoms wheeze", US_national_yearly!$D:$AM, 36, FALSE) / VLOOKUP("LULUCF|SO2|Asthma symptoms wheeze", US_national_yearly!$D:$AM, 10, FALSE), 1)</f>
        <v>5.3619792634888308E-3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7.539202782387615E-5</v>
      </c>
      <c r="C12" s="7">
        <f>$B12 * IFERROR(VLOOKUP("LULUCF|SO2|Respiratory hospital admissions", US_national_yearly!$D:$AM, 11, FALSE) / VLOOKUP("LULUCF|SO2|Respiratory hospital admissions", US_national_yearly!$D:$AM, 10, FALSE), 1)</f>
        <v>7.583669375058062E-5</v>
      </c>
      <c r="D12" s="7">
        <f>$B12 * IFERROR(VLOOKUP("LULUCF|SO2|Respiratory hospital admissions", US_national_yearly!$D:$AM, 12, FALSE) / VLOOKUP("LULUCF|SO2|Respiratory hospital admissions", US_national_yearly!$D:$AM, 10, FALSE), 1)</f>
        <v>7.6281359677285077E-5</v>
      </c>
      <c r="E12" s="7">
        <f>$B12 * IFERROR(VLOOKUP("LULUCF|SO2|Respiratory hospital admissions", US_national_yearly!$D:$AM, 13, FALSE) / VLOOKUP("LULUCF|SO2|Respiratory hospital admissions", US_national_yearly!$D:$AM, 10, FALSE), 1)</f>
        <v>7.6726025603989547E-5</v>
      </c>
      <c r="F12" s="7">
        <f>$B12 * IFERROR(VLOOKUP("LULUCF|SO2|Respiratory hospital admissions", US_national_yearly!$D:$AM, 14, FALSE) / VLOOKUP("LULUCF|SO2|Respiratory hospital admissions", US_national_yearly!$D:$AM, 10, FALSE), 1)</f>
        <v>7.7170691530694017E-5</v>
      </c>
      <c r="G12" s="7">
        <f>$B12 * IFERROR(VLOOKUP("LULUCF|SO2|Respiratory hospital admissions", US_national_yearly!$D:$AM, 15, FALSE) / VLOOKUP("LULUCF|SO2|Respiratory hospital admissions", US_national_yearly!$D:$AM, 10, FALSE), 1)</f>
        <v>7.7655452393046067E-5</v>
      </c>
      <c r="H12" s="7">
        <f>$B12 * IFERROR(VLOOKUP("LULUCF|SO2|Respiratory hospital admissions", US_national_yearly!$D:$AM, 16, FALSE) / VLOOKUP("LULUCF|SO2|Respiratory hospital admissions", US_national_yearly!$D:$AM, 10, FALSE), 1)</f>
        <v>7.8140213255398116E-5</v>
      </c>
      <c r="I12" s="7">
        <f>$B12 * IFERROR(VLOOKUP("LULUCF|SO2|Respiratory hospital admissions", US_national_yearly!$D:$AM, 17, FALSE) / VLOOKUP("LULUCF|SO2|Respiratory hospital admissions", US_national_yearly!$D:$AM, 10, FALSE), 1)</f>
        <v>7.8618245183307805E-5</v>
      </c>
      <c r="J12" s="7">
        <f>$B12 * IFERROR(VLOOKUP("LULUCF|SO2|Respiratory hospital admissions", US_national_yearly!$D:$AM, 18, FALSE) / VLOOKUP("LULUCF|SO2|Respiratory hospital admissions", US_national_yearly!$D:$AM, 10, FALSE), 1)</f>
        <v>7.9096277111217507E-5</v>
      </c>
      <c r="K12" s="7">
        <f>$B12 * IFERROR(VLOOKUP("LULUCF|SO2|Respiratory hospital admissions", US_national_yearly!$D:$AM, 19, FALSE) / VLOOKUP("LULUCF|SO2|Respiratory hospital admissions", US_national_yearly!$D:$AM, 10, FALSE), 1)</f>
        <v>7.9574309039127182E-5</v>
      </c>
      <c r="L12" s="7">
        <f>$B12 * IFERROR(VLOOKUP("LULUCF|SO2|Respiratory hospital admissions", US_national_yearly!$D:$AM, 20, FALSE) / VLOOKUP("LULUCF|SO2|Respiratory hospital admissions", US_national_yearly!$D:$AM, 10, FALSE), 1)</f>
        <v>8.0052340967036884E-5</v>
      </c>
      <c r="M12" s="7">
        <f>$B12 * IFERROR(VLOOKUP("LULUCF|SO2|Respiratory hospital admissions", US_national_yearly!$D:$AM, 21, FALSE) / VLOOKUP("LULUCF|SO2|Respiratory hospital admissions", US_national_yearly!$D:$AM, 10, FALSE), 1)</f>
        <v>8.0530372894946559E-5</v>
      </c>
      <c r="N12" s="7">
        <f>$B12 * IFERROR(VLOOKUP("LULUCF|SO2|Respiratory hospital admissions", US_national_yearly!$D:$AM, 22, FALSE) / VLOOKUP("LULUCF|SO2|Respiratory hospital admissions", US_national_yearly!$D:$AM, 10, FALSE), 1)</f>
        <v>8.0879321446145386E-5</v>
      </c>
      <c r="O12" s="7">
        <f>$B12 * IFERROR(VLOOKUP("LULUCF|SO2|Respiratory hospital admissions", US_national_yearly!$D:$AM, 23, FALSE) / VLOOKUP("LULUCF|SO2|Respiratory hospital admissions", US_national_yearly!$D:$AM, 10, FALSE), 1)</f>
        <v>8.1228269997344187E-5</v>
      </c>
      <c r="P12" s="7">
        <f>$B12 * IFERROR(VLOOKUP("LULUCF|SO2|Respiratory hospital admissions", US_national_yearly!$D:$AM, 24, FALSE) / VLOOKUP("LULUCF|SO2|Respiratory hospital admissions", US_national_yearly!$D:$AM, 10, FALSE), 1)</f>
        <v>8.1577218548543E-5</v>
      </c>
      <c r="Q12" s="7">
        <f>$B12 * IFERROR(VLOOKUP("LULUCF|SO2|Respiratory hospital admissions", US_national_yearly!$D:$AM, 25, FALSE) / VLOOKUP("LULUCF|SO2|Respiratory hospital admissions", US_national_yearly!$D:$AM, 10, FALSE), 1)</f>
        <v>8.1926167099741827E-5</v>
      </c>
      <c r="R12" s="7">
        <f>$B12 * IFERROR(VLOOKUP("LULUCF|SO2|Respiratory hospital admissions", US_national_yearly!$D:$AM, 26, FALSE) / VLOOKUP("LULUCF|SO2|Respiratory hospital admissions", US_national_yearly!$D:$AM, 10, FALSE), 1)</f>
        <v>8.2275115650940628E-5</v>
      </c>
      <c r="S12" s="7">
        <f>$B12 * IFERROR(VLOOKUP("LULUCF|SO2|Respiratory hospital admissions", US_national_yearly!$D:$AM, 27, FALSE) / VLOOKUP("LULUCF|SO2|Respiratory hospital admissions", US_national_yearly!$D:$AM, 10, FALSE), 1)</f>
        <v>8.2607985943258531E-5</v>
      </c>
      <c r="T12" s="7">
        <f>$B12 * IFERROR(VLOOKUP("LULUCF|SO2|Respiratory hospital admissions", US_national_yearly!$D:$AM, 28, FALSE) / VLOOKUP("LULUCF|SO2|Respiratory hospital admissions", US_national_yearly!$D:$AM, 10, FALSE), 1)</f>
        <v>8.2940856235576421E-5</v>
      </c>
      <c r="U12" s="7">
        <f>$B12 * IFERROR(VLOOKUP("LULUCF|SO2|Respiratory hospital admissions", US_national_yearly!$D:$AM, 29, FALSE) / VLOOKUP("LULUCF|SO2|Respiratory hospital admissions", US_national_yearly!$D:$AM, 10, FALSE), 1)</f>
        <v>8.3273726527894324E-5</v>
      </c>
      <c r="V12" s="7">
        <f>$B12 * IFERROR(VLOOKUP("LULUCF|SO2|Respiratory hospital admissions", US_national_yearly!$D:$AM, 30, FALSE) / VLOOKUP("LULUCF|SO2|Respiratory hospital admissions", US_national_yearly!$D:$AM, 10, FALSE), 1)</f>
        <v>8.3606596820212214E-5</v>
      </c>
      <c r="W12" s="7">
        <f>$B12 * IFERROR(VLOOKUP("LULUCF|SO2|Respiratory hospital admissions", US_national_yearly!$D:$AM, 31, FALSE) / VLOOKUP("LULUCF|SO2|Respiratory hospital admissions", US_national_yearly!$D:$AM, 10, FALSE), 1)</f>
        <v>8.3939467112530117E-5</v>
      </c>
      <c r="X12" s="7">
        <f>$B12 * IFERROR(VLOOKUP("LULUCF|SO2|Respiratory hospital admissions", US_national_yearly!$D:$AM, 32, FALSE) / VLOOKUP("LULUCF|SO2|Respiratory hospital admissions", US_national_yearly!$D:$AM, 10, FALSE), 1)</f>
        <v>8.4255306369132482E-5</v>
      </c>
      <c r="Y12" s="7">
        <f>$B12 * IFERROR(VLOOKUP("LULUCF|SO2|Respiratory hospital admissions", US_national_yearly!$D:$AM, 33, FALSE) / VLOOKUP("LULUCF|SO2|Respiratory hospital admissions", US_national_yearly!$D:$AM, 10, FALSE), 1)</f>
        <v>8.4571145625734847E-5</v>
      </c>
      <c r="Z12" s="7">
        <f>$B12 * IFERROR(VLOOKUP("LULUCF|SO2|Respiratory hospital admissions", US_national_yearly!$D:$AM, 34, FALSE) / VLOOKUP("LULUCF|SO2|Respiratory hospital admissions", US_national_yearly!$D:$AM, 10, FALSE), 1)</f>
        <v>8.4886984882337198E-5</v>
      </c>
      <c r="AA12" s="7">
        <f>$B12 * IFERROR(VLOOKUP("LULUCF|SO2|Respiratory hospital admissions", US_national_yearly!$D:$AM, 35, FALSE) / VLOOKUP("LULUCF|SO2|Respiratory hospital admissions", US_national_yearly!$D:$AM, 10, FALSE), 1)</f>
        <v>8.5202824138939562E-5</v>
      </c>
      <c r="AB12" s="7">
        <f>$B12 * IFERROR(VLOOKUP("LULUCF|SO2|Respiratory hospital admissions", US_national_yearly!$D:$AM, 36, FALSE) / VLOOKUP("LULUCF|SO2|Respiratory hospital admissions", US_national_yearly!$D:$AM, 10, FALSE), 1)</f>
        <v>8.551866339554194E-5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4.4562839632597182E-4</v>
      </c>
      <c r="C13" s="7">
        <f>$B13 * IFERROR(VLOOKUP("LULUCF|SO2|Non-fatal heart attacks", US_national_yearly!$D:$AM, 11, FALSE) / VLOOKUP("LULUCF|SO2|Non-fatal heart attacks", US_national_yearly!$D:$AM, 10, FALSE), 1)</f>
        <v>4.5871042743101721E-4</v>
      </c>
      <c r="D13" s="7">
        <f>$B13 * IFERROR(VLOOKUP("LULUCF|SO2|Non-fatal heart attacks", US_national_yearly!$D:$AM, 12, FALSE) / VLOOKUP("LULUCF|SO2|Non-fatal heart attacks", US_national_yearly!$D:$AM, 10, FALSE), 1)</f>
        <v>4.7179245853606259E-4</v>
      </c>
      <c r="E13" s="7">
        <f>$B13 * IFERROR(VLOOKUP("LULUCF|SO2|Non-fatal heart attacks", US_national_yearly!$D:$AM, 13, FALSE) / VLOOKUP("LULUCF|SO2|Non-fatal heart attacks", US_national_yearly!$D:$AM, 10, FALSE), 1)</f>
        <v>4.8487448964110798E-4</v>
      </c>
      <c r="F13" s="7">
        <f>$B13 * IFERROR(VLOOKUP("LULUCF|SO2|Non-fatal heart attacks", US_national_yearly!$D:$AM, 14, FALSE) / VLOOKUP("LULUCF|SO2|Non-fatal heart attacks", US_national_yearly!$D:$AM, 10, FALSE), 1)</f>
        <v>4.9795652074615326E-4</v>
      </c>
      <c r="G13" s="7">
        <f>$B13 * IFERROR(VLOOKUP("LULUCF|SO2|Non-fatal heart attacks", US_national_yearly!$D:$AM, 15, FALSE) / VLOOKUP("LULUCF|SO2|Non-fatal heart attacks", US_national_yearly!$D:$AM, 10, FALSE), 1)</f>
        <v>5.1029408951072447E-4</v>
      </c>
      <c r="H13" s="7">
        <f>$B13 * IFERROR(VLOOKUP("LULUCF|SO2|Non-fatal heart attacks", US_national_yearly!$D:$AM, 16, FALSE) / VLOOKUP("LULUCF|SO2|Non-fatal heart attacks", US_national_yearly!$D:$AM, 10, FALSE), 1)</f>
        <v>5.2263165827529567E-4</v>
      </c>
      <c r="I13" s="7">
        <f>$B13 * IFERROR(VLOOKUP("LULUCF|SO2|Non-fatal heart attacks", US_national_yearly!$D:$AM, 17, FALSE) / VLOOKUP("LULUCF|SO2|Non-fatal heart attacks", US_national_yearly!$D:$AM, 10, FALSE), 1)</f>
        <v>5.3255953348184284E-4</v>
      </c>
      <c r="J13" s="7">
        <f>$B13 * IFERROR(VLOOKUP("LULUCF|SO2|Non-fatal heart attacks", US_national_yearly!$D:$AM, 18, FALSE) / VLOOKUP("LULUCF|SO2|Non-fatal heart attacks", US_national_yearly!$D:$AM, 10, FALSE), 1)</f>
        <v>5.4248740868839012E-4</v>
      </c>
      <c r="K13" s="7">
        <f>$B13 * IFERROR(VLOOKUP("LULUCF|SO2|Non-fatal heart attacks", US_national_yearly!$D:$AM, 19, FALSE) / VLOOKUP("LULUCF|SO2|Non-fatal heart attacks", US_national_yearly!$D:$AM, 10, FALSE), 1)</f>
        <v>5.5241528389493718E-4</v>
      </c>
      <c r="L13" s="7">
        <f>$B13 * IFERROR(VLOOKUP("LULUCF|SO2|Non-fatal heart attacks", US_national_yearly!$D:$AM, 20, FALSE) / VLOOKUP("LULUCF|SO2|Non-fatal heart attacks", US_national_yearly!$D:$AM, 10, FALSE), 1)</f>
        <v>5.6234315910148457E-4</v>
      </c>
      <c r="M13" s="7">
        <f>$B13 * IFERROR(VLOOKUP("LULUCF|SO2|Non-fatal heart attacks", US_national_yearly!$D:$AM, 21, FALSE) / VLOOKUP("LULUCF|SO2|Non-fatal heart attacks", US_national_yearly!$D:$AM, 10, FALSE), 1)</f>
        <v>5.7227103430803185E-4</v>
      </c>
      <c r="N13" s="7">
        <f>$B13 * IFERROR(VLOOKUP("LULUCF|SO2|Non-fatal heart attacks", US_national_yearly!$D:$AM, 22, FALSE) / VLOOKUP("LULUCF|SO2|Non-fatal heart attacks", US_national_yearly!$D:$AM, 10, FALSE), 1)</f>
        <v>5.7871732362428901E-4</v>
      </c>
      <c r="O13" s="7">
        <f>$B13 * IFERROR(VLOOKUP("LULUCF|SO2|Non-fatal heart attacks", US_national_yearly!$D:$AM, 23, FALSE) / VLOOKUP("LULUCF|SO2|Non-fatal heart attacks", US_national_yearly!$D:$AM, 10, FALSE), 1)</f>
        <v>5.8516361294054639E-4</v>
      </c>
      <c r="P13" s="7">
        <f>$B13 * IFERROR(VLOOKUP("LULUCF|SO2|Non-fatal heart attacks", US_national_yearly!$D:$AM, 24, FALSE) / VLOOKUP("LULUCF|SO2|Non-fatal heart attacks", US_national_yearly!$D:$AM, 10, FALSE), 1)</f>
        <v>5.9160990225680377E-4</v>
      </c>
      <c r="Q13" s="7">
        <f>$B13 * IFERROR(VLOOKUP("LULUCF|SO2|Non-fatal heart attacks", US_national_yearly!$D:$AM, 25, FALSE) / VLOOKUP("LULUCF|SO2|Non-fatal heart attacks", US_national_yearly!$D:$AM, 10, FALSE), 1)</f>
        <v>5.9805619157306104E-4</v>
      </c>
      <c r="R13" s="7">
        <f>$B13 * IFERROR(VLOOKUP("LULUCF|SO2|Non-fatal heart attacks", US_national_yearly!$D:$AM, 26, FALSE) / VLOOKUP("LULUCF|SO2|Non-fatal heart attacks", US_national_yearly!$D:$AM, 10, FALSE), 1)</f>
        <v>6.0450248088931831E-4</v>
      </c>
      <c r="S13" s="7">
        <f>$B13 * IFERROR(VLOOKUP("LULUCF|SO2|Non-fatal heart attacks", US_national_yearly!$D:$AM, 27, FALSE) / VLOOKUP("LULUCF|SO2|Non-fatal heart attacks", US_national_yearly!$D:$AM, 10, FALSE), 1)</f>
        <v>6.0786805228231868E-4</v>
      </c>
      <c r="T13" s="7">
        <f>$B13 * IFERROR(VLOOKUP("LULUCF|SO2|Non-fatal heart attacks", US_national_yearly!$D:$AM, 28, FALSE) / VLOOKUP("LULUCF|SO2|Non-fatal heart attacks", US_national_yearly!$D:$AM, 10, FALSE), 1)</f>
        <v>6.1123362367531916E-4</v>
      </c>
      <c r="U13" s="7">
        <f>$B13 * IFERROR(VLOOKUP("LULUCF|SO2|Non-fatal heart attacks", US_national_yearly!$D:$AM, 29, FALSE) / VLOOKUP("LULUCF|SO2|Non-fatal heart attacks", US_national_yearly!$D:$AM, 10, FALSE), 1)</f>
        <v>6.1459919506831942E-4</v>
      </c>
      <c r="V13" s="7">
        <f>$B13 * IFERROR(VLOOKUP("LULUCF|SO2|Non-fatal heart attacks", US_national_yearly!$D:$AM, 30, FALSE) / VLOOKUP("LULUCF|SO2|Non-fatal heart attacks", US_national_yearly!$D:$AM, 10, FALSE), 1)</f>
        <v>6.1796476646131979E-4</v>
      </c>
      <c r="W13" s="7">
        <f>$B13 * IFERROR(VLOOKUP("LULUCF|SO2|Non-fatal heart attacks", US_national_yearly!$D:$AM, 31, FALSE) / VLOOKUP("LULUCF|SO2|Non-fatal heart attacks", US_national_yearly!$D:$AM, 10, FALSE), 1)</f>
        <v>6.2133033785432027E-4</v>
      </c>
      <c r="X13" s="7">
        <f>$B13 * IFERROR(VLOOKUP("LULUCF|SO2|Non-fatal heart attacks", US_national_yearly!$D:$AM, 32, FALSE) / VLOOKUP("LULUCF|SO2|Non-fatal heart attacks", US_national_yearly!$D:$AM, 10, FALSE), 1)</f>
        <v>6.2387104985654437E-4</v>
      </c>
      <c r="Y13" s="7">
        <f>$B13 * IFERROR(VLOOKUP("LULUCF|SO2|Non-fatal heart attacks", US_national_yearly!$D:$AM, 33, FALSE) / VLOOKUP("LULUCF|SO2|Non-fatal heart attacks", US_national_yearly!$D:$AM, 10, FALSE), 1)</f>
        <v>6.2641176185876857E-4</v>
      </c>
      <c r="Z13" s="7">
        <f>$B13 * IFERROR(VLOOKUP("LULUCF|SO2|Non-fatal heart attacks", US_national_yearly!$D:$AM, 34, FALSE) / VLOOKUP("LULUCF|SO2|Non-fatal heart attacks", US_national_yearly!$D:$AM, 10, FALSE), 1)</f>
        <v>6.2895247386099266E-4</v>
      </c>
      <c r="AA13" s="7">
        <f>$B13 * IFERROR(VLOOKUP("LULUCF|SO2|Non-fatal heart attacks", US_national_yearly!$D:$AM, 35, FALSE) / VLOOKUP("LULUCF|SO2|Non-fatal heart attacks", US_national_yearly!$D:$AM, 10, FALSE), 1)</f>
        <v>6.3149318586321675E-4</v>
      </c>
      <c r="AB13" s="7">
        <f>$B13 * IFERROR(VLOOKUP("LULUCF|SO2|Non-fatal heart attacks", US_national_yearly!$D:$AM, 36, FALSE) / VLOOKUP("LULUCF|SO2|Non-fatal heart attacks", US_national_yearly!$D:$AM, 10, FALSE), 1)</f>
        <v>6.3403389786544084E-4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0.3591740696998979</v>
      </c>
      <c r="C14" s="7">
        <f>$B14 * IFERROR(VLOOKUP("LULUCF|SO2|Minor restricted activity days", US_national_yearly!$D:$AM, 11, FALSE) / VLOOKUP("LULUCF|SO2|Minor restricted activity days", US_national_yearly!$D:$AM, 10, FALSE), 1)</f>
        <v>0.3600794278555689</v>
      </c>
      <c r="D14" s="7">
        <f>$B14 * IFERROR(VLOOKUP("LULUCF|SO2|Minor restricted activity days", US_national_yearly!$D:$AM, 12, FALSE) / VLOOKUP("LULUCF|SO2|Minor restricted activity days", US_national_yearly!$D:$AM, 10, FALSE), 1)</f>
        <v>0.36098478601123984</v>
      </c>
      <c r="E14" s="7">
        <f>$B14 * IFERROR(VLOOKUP("LULUCF|SO2|Minor restricted activity days", US_national_yearly!$D:$AM, 13, FALSE) / VLOOKUP("LULUCF|SO2|Minor restricted activity days", US_national_yearly!$D:$AM, 10, FALSE), 1)</f>
        <v>0.36189014416691084</v>
      </c>
      <c r="F14" s="7">
        <f>$B14 * IFERROR(VLOOKUP("LULUCF|SO2|Minor restricted activity days", US_national_yearly!$D:$AM, 14, FALSE) / VLOOKUP("LULUCF|SO2|Minor restricted activity days", US_national_yearly!$D:$AM, 10, FALSE), 1)</f>
        <v>0.36279550232258179</v>
      </c>
      <c r="G14" s="7">
        <f>$B14 * IFERROR(VLOOKUP("LULUCF|SO2|Minor restricted activity days", US_national_yearly!$D:$AM, 15, FALSE) / VLOOKUP("LULUCF|SO2|Minor restricted activity days", US_national_yearly!$D:$AM, 10, FALSE), 1)</f>
        <v>0.36412810058484762</v>
      </c>
      <c r="H14" s="7">
        <f>$B14 * IFERROR(VLOOKUP("LULUCF|SO2|Minor restricted activity days", US_national_yearly!$D:$AM, 16, FALSE) / VLOOKUP("LULUCF|SO2|Minor restricted activity days", US_national_yearly!$D:$AM, 10, FALSE), 1)</f>
        <v>0.36546069884711346</v>
      </c>
      <c r="I14" s="7">
        <f>$B14 * IFERROR(VLOOKUP("LULUCF|SO2|Minor restricted activity days", US_national_yearly!$D:$AM, 17, FALSE) / VLOOKUP("LULUCF|SO2|Minor restricted activity days", US_national_yearly!$D:$AM, 10, FALSE), 1)</f>
        <v>0.36773332097069655</v>
      </c>
      <c r="J14" s="7">
        <f>$B14 * IFERROR(VLOOKUP("LULUCF|SO2|Minor restricted activity days", US_national_yearly!$D:$AM, 18, FALSE) / VLOOKUP("LULUCF|SO2|Minor restricted activity days", US_national_yearly!$D:$AM, 10, FALSE), 1)</f>
        <v>0.3700059430942797</v>
      </c>
      <c r="K14" s="7">
        <f>$B14 * IFERROR(VLOOKUP("LULUCF|SO2|Minor restricted activity days", US_national_yearly!$D:$AM, 19, FALSE) / VLOOKUP("LULUCF|SO2|Minor restricted activity days", US_national_yearly!$D:$AM, 10, FALSE), 1)</f>
        <v>0.3722785652178629</v>
      </c>
      <c r="L14" s="7">
        <f>$B14 * IFERROR(VLOOKUP("LULUCF|SO2|Minor restricted activity days", US_national_yearly!$D:$AM, 20, FALSE) / VLOOKUP("LULUCF|SO2|Minor restricted activity days", US_national_yearly!$D:$AM, 10, FALSE), 1)</f>
        <v>0.37455118734144599</v>
      </c>
      <c r="M14" s="7">
        <f>$B14 * IFERROR(VLOOKUP("LULUCF|SO2|Minor restricted activity days", US_national_yearly!$D:$AM, 21, FALSE) / VLOOKUP("LULUCF|SO2|Minor restricted activity days", US_national_yearly!$D:$AM, 10, FALSE), 1)</f>
        <v>0.37682380946502914</v>
      </c>
      <c r="N14" s="7">
        <f>$B14 * IFERROR(VLOOKUP("LULUCF|SO2|Minor restricted activity days", US_national_yearly!$D:$AM, 22, FALSE) / VLOOKUP("LULUCF|SO2|Minor restricted activity days", US_national_yearly!$D:$AM, 10, FALSE), 1)</f>
        <v>0.37993239186746663</v>
      </c>
      <c r="O14" s="7">
        <f>$B14 * IFERROR(VLOOKUP("LULUCF|SO2|Minor restricted activity days", US_national_yearly!$D:$AM, 23, FALSE) / VLOOKUP("LULUCF|SO2|Minor restricted activity days", US_national_yearly!$D:$AM, 10, FALSE), 1)</f>
        <v>0.38304097426990408</v>
      </c>
      <c r="P14" s="7">
        <f>$B14 * IFERROR(VLOOKUP("LULUCF|SO2|Minor restricted activity days", US_national_yearly!$D:$AM, 24, FALSE) / VLOOKUP("LULUCF|SO2|Minor restricted activity days", US_national_yearly!$D:$AM, 10, FALSE), 1)</f>
        <v>0.38614955667234158</v>
      </c>
      <c r="Q14" s="7">
        <f>$B14 * IFERROR(VLOOKUP("LULUCF|SO2|Minor restricted activity days", US_national_yearly!$D:$AM, 25, FALSE) / VLOOKUP("LULUCF|SO2|Minor restricted activity days", US_national_yearly!$D:$AM, 10, FALSE), 1)</f>
        <v>0.38925813907477907</v>
      </c>
      <c r="R14" s="7">
        <f>$B14 * IFERROR(VLOOKUP("LULUCF|SO2|Minor restricted activity days", US_national_yearly!$D:$AM, 26, FALSE) / VLOOKUP("LULUCF|SO2|Minor restricted activity days", US_national_yearly!$D:$AM, 10, FALSE), 1)</f>
        <v>0.39236672147721657</v>
      </c>
      <c r="S14" s="7">
        <f>$B14 * IFERROR(VLOOKUP("LULUCF|SO2|Minor restricted activity days", US_national_yearly!$D:$AM, 27, FALSE) / VLOOKUP("LULUCF|SO2|Minor restricted activity days", US_national_yearly!$D:$AM, 10, FALSE), 1)</f>
        <v>0.39553622548566214</v>
      </c>
      <c r="T14" s="7">
        <f>$B14 * IFERROR(VLOOKUP("LULUCF|SO2|Minor restricted activity days", US_national_yearly!$D:$AM, 28, FALSE) / VLOOKUP("LULUCF|SO2|Minor restricted activity days", US_national_yearly!$D:$AM, 10, FALSE), 1)</f>
        <v>0.39870572949410765</v>
      </c>
      <c r="U14" s="7">
        <f>$B14 * IFERROR(VLOOKUP("LULUCF|SO2|Minor restricted activity days", US_national_yearly!$D:$AM, 29, FALSE) / VLOOKUP("LULUCF|SO2|Minor restricted activity days", US_national_yearly!$D:$AM, 10, FALSE), 1)</f>
        <v>0.40187523350255322</v>
      </c>
      <c r="V14" s="7">
        <f>$B14 * IFERROR(VLOOKUP("LULUCF|SO2|Minor restricted activity days", US_national_yearly!$D:$AM, 30, FALSE) / VLOOKUP("LULUCF|SO2|Minor restricted activity days", US_national_yearly!$D:$AM, 10, FALSE), 1)</f>
        <v>0.40504473751099879</v>
      </c>
      <c r="W14" s="7">
        <f>$B14 * IFERROR(VLOOKUP("LULUCF|SO2|Minor restricted activity days", US_national_yearly!$D:$AM, 31, FALSE) / VLOOKUP("LULUCF|SO2|Minor restricted activity days", US_national_yearly!$D:$AM, 10, FALSE), 1)</f>
        <v>0.40821424151944441</v>
      </c>
      <c r="X14" s="7">
        <f>$B14 * IFERROR(VLOOKUP("LULUCF|SO2|Minor restricted activity days", US_national_yearly!$D:$AM, 32, FALSE) / VLOOKUP("LULUCF|SO2|Minor restricted activity days", US_national_yearly!$D:$AM, 10, FALSE), 1)</f>
        <v>0.41100156772084923</v>
      </c>
      <c r="Y14" s="7">
        <f>$B14 * IFERROR(VLOOKUP("LULUCF|SO2|Minor restricted activity days", US_national_yearly!$D:$AM, 33, FALSE) / VLOOKUP("LULUCF|SO2|Minor restricted activity days", US_national_yearly!$D:$AM, 10, FALSE), 1)</f>
        <v>0.4137888939222541</v>
      </c>
      <c r="Z14" s="7">
        <f>$B14 * IFERROR(VLOOKUP("LULUCF|SO2|Minor restricted activity days", US_national_yearly!$D:$AM, 34, FALSE) / VLOOKUP("LULUCF|SO2|Minor restricted activity days", US_national_yearly!$D:$AM, 10, FALSE), 1)</f>
        <v>0.41657622012365897</v>
      </c>
      <c r="AA14" s="7">
        <f>$B14 * IFERROR(VLOOKUP("LULUCF|SO2|Minor restricted activity days", US_national_yearly!$D:$AM, 35, FALSE) / VLOOKUP("LULUCF|SO2|Minor restricted activity days", US_national_yearly!$D:$AM, 10, FALSE), 1)</f>
        <v>0.41936354632506379</v>
      </c>
      <c r="AB14" s="7">
        <f>$B14 * IFERROR(VLOOKUP("LULUCF|SO2|Minor restricted activity days", US_national_yearly!$D:$AM, 36, FALSE) / VLOOKUP("LULUCF|SO2|Minor restricted activity days", US_national_yearly!$D:$AM, 10, FALSE), 1)</f>
        <v>0.42215087252646871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6.1044238435047422E-2</v>
      </c>
      <c r="C15" s="7">
        <f>$B15 * IFERROR(VLOOKUP("LULUCF|SO2|Work loss days", US_national_yearly!$D:$AM, 11, FALSE) / VLOOKUP("LULUCF|SO2|Work loss days", US_national_yearly!$D:$AM, 10, FALSE), 1)</f>
        <v>6.1242012065453474E-2</v>
      </c>
      <c r="D15" s="7">
        <f>$B15 * IFERROR(VLOOKUP("LULUCF|SO2|Work loss days", US_national_yearly!$D:$AM, 12, FALSE) / VLOOKUP("LULUCF|SO2|Work loss days", US_national_yearly!$D:$AM, 10, FALSE), 1)</f>
        <v>6.1439785695859526E-2</v>
      </c>
      <c r="E15" s="7">
        <f>$B15 * IFERROR(VLOOKUP("LULUCF|SO2|Work loss days", US_national_yearly!$D:$AM, 13, FALSE) / VLOOKUP("LULUCF|SO2|Work loss days", US_national_yearly!$D:$AM, 10, FALSE), 1)</f>
        <v>6.1637559326265579E-2</v>
      </c>
      <c r="F15" s="7">
        <f>$B15 * IFERROR(VLOOKUP("LULUCF|SO2|Work loss days", US_national_yearly!$D:$AM, 14, FALSE) / VLOOKUP("LULUCF|SO2|Work loss days", US_national_yearly!$D:$AM, 10, FALSE), 1)</f>
        <v>6.1835332956671631E-2</v>
      </c>
      <c r="G15" s="7">
        <f>$B15 * IFERROR(VLOOKUP("LULUCF|SO2|Work loss days", US_national_yearly!$D:$AM, 15, FALSE) / VLOOKUP("LULUCF|SO2|Work loss days", US_national_yearly!$D:$AM, 10, FALSE), 1)</f>
        <v>6.2093748403947525E-2</v>
      </c>
      <c r="H15" s="7">
        <f>$B15 * IFERROR(VLOOKUP("LULUCF|SO2|Work loss days", US_national_yearly!$D:$AM, 16, FALSE) / VLOOKUP("LULUCF|SO2|Work loss days", US_national_yearly!$D:$AM, 10, FALSE), 1)</f>
        <v>6.2352163851223406E-2</v>
      </c>
      <c r="I15" s="7">
        <f>$B15 * IFERROR(VLOOKUP("LULUCF|SO2|Work loss days", US_national_yearly!$D:$AM, 17, FALSE) / VLOOKUP("LULUCF|SO2|Work loss days", US_national_yearly!$D:$AM, 10, FALSE), 1)</f>
        <v>6.2730190960816903E-2</v>
      </c>
      <c r="J15" s="7">
        <f>$B15 * IFERROR(VLOOKUP("LULUCF|SO2|Work loss days", US_national_yearly!$D:$AM, 18, FALSE) / VLOOKUP("LULUCF|SO2|Work loss days", US_national_yearly!$D:$AM, 10, FALSE), 1)</f>
        <v>6.3108218070410393E-2</v>
      </c>
      <c r="K15" s="7">
        <f>$B15 * IFERROR(VLOOKUP("LULUCF|SO2|Work loss days", US_national_yearly!$D:$AM, 19, FALSE) / VLOOKUP("LULUCF|SO2|Work loss days", US_national_yearly!$D:$AM, 10, FALSE), 1)</f>
        <v>6.3486245180003897E-2</v>
      </c>
      <c r="L15" s="7">
        <f>$B15 * IFERROR(VLOOKUP("LULUCF|SO2|Work loss days", US_national_yearly!$D:$AM, 20, FALSE) / VLOOKUP("LULUCF|SO2|Work loss days", US_national_yearly!$D:$AM, 10, FALSE), 1)</f>
        <v>6.3864272289597401E-2</v>
      </c>
      <c r="M15" s="7">
        <f>$B15 * IFERROR(VLOOKUP("LULUCF|SO2|Work loss days", US_national_yearly!$D:$AM, 21, FALSE) / VLOOKUP("LULUCF|SO2|Work loss days", US_national_yearly!$D:$AM, 10, FALSE), 1)</f>
        <v>6.4242299399190905E-2</v>
      </c>
      <c r="N15" s="7">
        <f>$B15 * IFERROR(VLOOKUP("LULUCF|SO2|Work loss days", US_national_yearly!$D:$AM, 22, FALSE) / VLOOKUP("LULUCF|SO2|Work loss days", US_national_yearly!$D:$AM, 10, FALSE), 1)</f>
        <v>6.4716284135109492E-2</v>
      </c>
      <c r="O15" s="7">
        <f>$B15 * IFERROR(VLOOKUP("LULUCF|SO2|Work loss days", US_national_yearly!$D:$AM, 23, FALSE) / VLOOKUP("LULUCF|SO2|Work loss days", US_national_yearly!$D:$AM, 10, FALSE), 1)</f>
        <v>6.5190268871028065E-2</v>
      </c>
      <c r="P15" s="7">
        <f>$B15 * IFERROR(VLOOKUP("LULUCF|SO2|Work loss days", US_national_yearly!$D:$AM, 24, FALSE) / VLOOKUP("LULUCF|SO2|Work loss days", US_national_yearly!$D:$AM, 10, FALSE), 1)</f>
        <v>6.5664253606946638E-2</v>
      </c>
      <c r="Q15" s="7">
        <f>$B15 * IFERROR(VLOOKUP("LULUCF|SO2|Work loss days", US_national_yearly!$D:$AM, 25, FALSE) / VLOOKUP("LULUCF|SO2|Work loss days", US_national_yearly!$D:$AM, 10, FALSE), 1)</f>
        <v>6.6138238342865224E-2</v>
      </c>
      <c r="R15" s="7">
        <f>$B15 * IFERROR(VLOOKUP("LULUCF|SO2|Work loss days", US_national_yearly!$D:$AM, 26, FALSE) / VLOOKUP("LULUCF|SO2|Work loss days", US_national_yearly!$D:$AM, 10, FALSE), 1)</f>
        <v>6.6612223078783811E-2</v>
      </c>
      <c r="S15" s="7">
        <f>$B15 * IFERROR(VLOOKUP("LULUCF|SO2|Work loss days", US_national_yearly!$D:$AM, 27, FALSE) / VLOOKUP("LULUCF|SO2|Work loss days", US_national_yearly!$D:$AM, 10, FALSE), 1)</f>
        <v>6.7141899458465104E-2</v>
      </c>
      <c r="T15" s="7">
        <f>$B15 * IFERROR(VLOOKUP("LULUCF|SO2|Work loss days", US_national_yearly!$D:$AM, 28, FALSE) / VLOOKUP("LULUCF|SO2|Work loss days", US_national_yearly!$D:$AM, 10, FALSE), 1)</f>
        <v>6.7671575838146425E-2</v>
      </c>
      <c r="U15" s="7">
        <f>$B15 * IFERROR(VLOOKUP("LULUCF|SO2|Work loss days", US_national_yearly!$D:$AM, 29, FALSE) / VLOOKUP("LULUCF|SO2|Work loss days", US_national_yearly!$D:$AM, 10, FALSE), 1)</f>
        <v>6.8201252217827718E-2</v>
      </c>
      <c r="V15" s="7">
        <f>$B15 * IFERROR(VLOOKUP("LULUCF|SO2|Work loss days", US_national_yearly!$D:$AM, 30, FALSE) / VLOOKUP("LULUCF|SO2|Work loss days", US_national_yearly!$D:$AM, 10, FALSE), 1)</f>
        <v>6.8730928597509025E-2</v>
      </c>
      <c r="W15" s="7">
        <f>$B15 * IFERROR(VLOOKUP("LULUCF|SO2|Work loss days", US_national_yearly!$D:$AM, 31, FALSE) / VLOOKUP("LULUCF|SO2|Work loss days", US_national_yearly!$D:$AM, 10, FALSE), 1)</f>
        <v>6.9260604977190332E-2</v>
      </c>
      <c r="X15" s="7">
        <f>$B15 * IFERROR(VLOOKUP("LULUCF|SO2|Work loss days", US_national_yearly!$D:$AM, 32, FALSE) / VLOOKUP("LULUCF|SO2|Work loss days", US_national_yearly!$D:$AM, 10, FALSE), 1)</f>
        <v>6.9736181357344731E-2</v>
      </c>
      <c r="Y15" s="7">
        <f>$B15 * IFERROR(VLOOKUP("LULUCF|SO2|Work loss days", US_national_yearly!$D:$AM, 33, FALSE) / VLOOKUP("LULUCF|SO2|Work loss days", US_national_yearly!$D:$AM, 10, FALSE), 1)</f>
        <v>7.0211757737499131E-2</v>
      </c>
      <c r="Z15" s="7">
        <f>$B15 * IFERROR(VLOOKUP("LULUCF|SO2|Work loss days", US_national_yearly!$D:$AM, 34, FALSE) / VLOOKUP("LULUCF|SO2|Work loss days", US_national_yearly!$D:$AM, 10, FALSE), 1)</f>
        <v>7.068733411765353E-2</v>
      </c>
      <c r="AA15" s="7">
        <f>$B15 * IFERROR(VLOOKUP("LULUCF|SO2|Work loss days", US_national_yearly!$D:$AM, 35, FALSE) / VLOOKUP("LULUCF|SO2|Work loss days", US_national_yearly!$D:$AM, 10, FALSE), 1)</f>
        <v>7.116291049780793E-2</v>
      </c>
      <c r="AB15" s="7">
        <f>$B15 * IFERROR(VLOOKUP("LULUCF|SO2|Work loss days", US_national_yearly!$D:$AM, 36, FALSE) / VLOOKUP("LULUCF|SO2|Work loss days", US_national_yearly!$D:$AM, 10, FALSE), 1)</f>
        <v>7.1638486877962329E-2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1.0765576077655267E-4</v>
      </c>
      <c r="C17" s="7">
        <f>$B17 * IFERROR(VLOOKUP("LULUCF|SO2|Cardiovascular hospital admissions", US_national_yearly!$D:$AM, 11, FALSE) / VLOOKUP("LULUCF|SO2|Cardiovascular hospital admissions", US_national_yearly!$D:$AM, 10, FALSE), 1)</f>
        <v>1.1091168324174975E-4</v>
      </c>
      <c r="D17" s="7">
        <f>$B17 * IFERROR(VLOOKUP("LULUCF|SO2|Cardiovascular hospital admissions", US_national_yearly!$D:$AM, 12, FALSE) / VLOOKUP("LULUCF|SO2|Cardiovascular hospital admissions", US_national_yearly!$D:$AM, 10, FALSE), 1)</f>
        <v>1.1416760570694682E-4</v>
      </c>
      <c r="E17" s="7">
        <f>$B17 * IFERROR(VLOOKUP("LULUCF|SO2|Cardiovascular hospital admissions", US_national_yearly!$D:$AM, 13, FALSE) / VLOOKUP("LULUCF|SO2|Cardiovascular hospital admissions", US_national_yearly!$D:$AM, 10, FALSE), 1)</f>
        <v>1.174235281721439E-4</v>
      </c>
      <c r="F17" s="7">
        <f>$B17 * IFERROR(VLOOKUP("LULUCF|SO2|Cardiovascular hospital admissions", US_national_yearly!$D:$AM, 14, FALSE) / VLOOKUP("LULUCF|SO2|Cardiovascular hospital admissions", US_national_yearly!$D:$AM, 10, FALSE), 1)</f>
        <v>1.20679450637341E-4</v>
      </c>
      <c r="G17" s="7">
        <f>$B17 * IFERROR(VLOOKUP("LULUCF|SO2|Cardiovascular hospital admissions", US_national_yearly!$D:$AM, 15, FALSE) / VLOOKUP("LULUCF|SO2|Cardiovascular hospital admissions", US_national_yearly!$D:$AM, 10, FALSE), 1)</f>
        <v>1.2379831476916386E-4</v>
      </c>
      <c r="H17" s="7">
        <f>$B17 * IFERROR(VLOOKUP("LULUCF|SO2|Cardiovascular hospital admissions", US_national_yearly!$D:$AM, 16, FALSE) / VLOOKUP("LULUCF|SO2|Cardiovascular hospital admissions", US_national_yearly!$D:$AM, 10, FALSE), 1)</f>
        <v>1.2691717890098674E-4</v>
      </c>
      <c r="I17" s="7">
        <f>$B17 * IFERROR(VLOOKUP("LULUCF|SO2|Cardiovascular hospital admissions", US_national_yearly!$D:$AM, 17, FALSE) / VLOOKUP("LULUCF|SO2|Cardiovascular hospital admissions", US_national_yearly!$D:$AM, 10, FALSE), 1)</f>
        <v>1.2958943682093679E-4</v>
      </c>
      <c r="J17" s="7">
        <f>$B17 * IFERROR(VLOOKUP("LULUCF|SO2|Cardiovascular hospital admissions", US_national_yearly!$D:$AM, 18, FALSE) / VLOOKUP("LULUCF|SO2|Cardiovascular hospital admissions", US_national_yearly!$D:$AM, 10, FALSE), 1)</f>
        <v>1.3226169474088681E-4</v>
      </c>
      <c r="K17" s="7">
        <f>$B17 * IFERROR(VLOOKUP("LULUCF|SO2|Cardiovascular hospital admissions", US_national_yearly!$D:$AM, 19, FALSE) / VLOOKUP("LULUCF|SO2|Cardiovascular hospital admissions", US_national_yearly!$D:$AM, 10, FALSE), 1)</f>
        <v>1.3493395266083686E-4</v>
      </c>
      <c r="L17" s="7">
        <f>$B17 * IFERROR(VLOOKUP("LULUCF|SO2|Cardiovascular hospital admissions", US_national_yearly!$D:$AM, 20, FALSE) / VLOOKUP("LULUCF|SO2|Cardiovascular hospital admissions", US_national_yearly!$D:$AM, 10, FALSE), 1)</f>
        <v>1.3760621058078691E-4</v>
      </c>
      <c r="M17" s="7">
        <f>$B17 * IFERROR(VLOOKUP("LULUCF|SO2|Cardiovascular hospital admissions", US_national_yearly!$D:$AM, 21, FALSE) / VLOOKUP("LULUCF|SO2|Cardiovascular hospital admissions", US_national_yearly!$D:$AM, 10, FALSE), 1)</f>
        <v>1.4027846850073693E-4</v>
      </c>
      <c r="N17" s="7">
        <f>$B17 * IFERROR(VLOOKUP("LULUCF|SO2|Cardiovascular hospital admissions", US_national_yearly!$D:$AM, 22, FALSE) / VLOOKUP("LULUCF|SO2|Cardiovascular hospital admissions", US_national_yearly!$D:$AM, 10, FALSE), 1)</f>
        <v>1.4207361710992229E-4</v>
      </c>
      <c r="O17" s="7">
        <f>$B17 * IFERROR(VLOOKUP("LULUCF|SO2|Cardiovascular hospital admissions", US_national_yearly!$D:$AM, 23, FALSE) / VLOOKUP("LULUCF|SO2|Cardiovascular hospital admissions", US_national_yearly!$D:$AM, 10, FALSE), 1)</f>
        <v>1.4386876571910763E-4</v>
      </c>
      <c r="P17" s="7">
        <f>$B17 * IFERROR(VLOOKUP("LULUCF|SO2|Cardiovascular hospital admissions", US_national_yearly!$D:$AM, 24, FALSE) / VLOOKUP("LULUCF|SO2|Cardiovascular hospital admissions", US_national_yearly!$D:$AM, 10, FALSE), 1)</f>
        <v>1.4566391432829299E-4</v>
      </c>
      <c r="Q17" s="7">
        <f>$B17 * IFERROR(VLOOKUP("LULUCF|SO2|Cardiovascular hospital admissions", US_national_yearly!$D:$AM, 25, FALSE) / VLOOKUP("LULUCF|SO2|Cardiovascular hospital admissions", US_national_yearly!$D:$AM, 10, FALSE), 1)</f>
        <v>1.4745906293747832E-4</v>
      </c>
      <c r="R17" s="7">
        <f>$B17 * IFERROR(VLOOKUP("LULUCF|SO2|Cardiovascular hospital admissions", US_national_yearly!$D:$AM, 26, FALSE) / VLOOKUP("LULUCF|SO2|Cardiovascular hospital admissions", US_national_yearly!$D:$AM, 10, FALSE), 1)</f>
        <v>1.4925421154666368E-4</v>
      </c>
      <c r="S17" s="7">
        <f>$B17 * IFERROR(VLOOKUP("LULUCF|SO2|Cardiovascular hospital admissions", US_national_yearly!$D:$AM, 27, FALSE) / VLOOKUP("LULUCF|SO2|Cardiovascular hospital admissions", US_national_yearly!$D:$AM, 10, FALSE), 1)</f>
        <v>1.5019833190039482E-4</v>
      </c>
      <c r="T17" s="7">
        <f>$B17 * IFERROR(VLOOKUP("LULUCF|SO2|Cardiovascular hospital admissions", US_national_yearly!$D:$AM, 28, FALSE) / VLOOKUP("LULUCF|SO2|Cardiovascular hospital admissions", US_national_yearly!$D:$AM, 10, FALSE), 1)</f>
        <v>1.5114245225412596E-4</v>
      </c>
      <c r="U17" s="7">
        <f>$B17 * IFERROR(VLOOKUP("LULUCF|SO2|Cardiovascular hospital admissions", US_national_yearly!$D:$AM, 29, FALSE) / VLOOKUP("LULUCF|SO2|Cardiovascular hospital admissions", US_national_yearly!$D:$AM, 10, FALSE), 1)</f>
        <v>1.5208657260785711E-4</v>
      </c>
      <c r="V17" s="7">
        <f>$B17 * IFERROR(VLOOKUP("LULUCF|SO2|Cardiovascular hospital admissions", US_national_yearly!$D:$AM, 30, FALSE) / VLOOKUP("LULUCF|SO2|Cardiovascular hospital admissions", US_national_yearly!$D:$AM, 10, FALSE), 1)</f>
        <v>1.5303069296158825E-4</v>
      </c>
      <c r="W17" s="7">
        <f>$B17 * IFERROR(VLOOKUP("LULUCF|SO2|Cardiovascular hospital admissions", US_national_yearly!$D:$AM, 31, FALSE) / VLOOKUP("LULUCF|SO2|Cardiovascular hospital admissions", US_national_yearly!$D:$AM, 10, FALSE), 1)</f>
        <v>1.5397481331531939E-4</v>
      </c>
      <c r="X17" s="7">
        <f>$B17 * IFERROR(VLOOKUP("LULUCF|SO2|Cardiovascular hospital admissions", US_national_yearly!$D:$AM, 32, FALSE) / VLOOKUP("LULUCF|SO2|Cardiovascular hospital admissions", US_national_yearly!$D:$AM, 10, FALSE), 1)</f>
        <v>1.5460863251901349E-4</v>
      </c>
      <c r="Y17" s="7">
        <f>$B17 * IFERROR(VLOOKUP("LULUCF|SO2|Cardiovascular hospital admissions", US_national_yearly!$D:$AM, 33, FALSE) / VLOOKUP("LULUCF|SO2|Cardiovascular hospital admissions", US_national_yearly!$D:$AM, 10, FALSE), 1)</f>
        <v>1.5524245172270762E-4</v>
      </c>
      <c r="Z17" s="7">
        <f>$B17 * IFERROR(VLOOKUP("LULUCF|SO2|Cardiovascular hospital admissions", US_national_yearly!$D:$AM, 34, FALSE) / VLOOKUP("LULUCF|SO2|Cardiovascular hospital admissions", US_national_yearly!$D:$AM, 10, FALSE), 1)</f>
        <v>1.5587627092640173E-4</v>
      </c>
      <c r="AA17" s="7">
        <f>$B17 * IFERROR(VLOOKUP("LULUCF|SO2|Cardiovascular hospital admissions", US_national_yearly!$D:$AM, 35, FALSE) / VLOOKUP("LULUCF|SO2|Cardiovascular hospital admissions", US_national_yearly!$D:$AM, 10, FALSE), 1)</f>
        <v>1.5651009013009586E-4</v>
      </c>
      <c r="AB17" s="7">
        <f>$B17 * IFERROR(VLOOKUP("LULUCF|SO2|Cardiovascular hospital admissions", US_national_yearly!$D:$AM, 36, FALSE) / VLOOKUP("LULUCF|SO2|Cardiovascular hospital admissions", US_national_yearly!$D:$AM, 10, FALSE), 1)</f>
        <v>1.5714390933378996E-4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2026-06-15T17:16:39Z</dcterms:modified>
</cp:coreProperties>
</file>