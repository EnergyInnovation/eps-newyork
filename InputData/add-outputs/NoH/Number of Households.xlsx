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Y\add-outputs\NoH\"/>
    </mc:Choice>
  </mc:AlternateContent>
  <xr:revisionPtr revIDLastSave="0" documentId="8_{B1660F5D-0DE9-45FB-A06C-9A1F95944DCB}"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AA2" i="3"/>
  <c r="O2" i="3"/>
  <c r="T2" i="3"/>
  <c r="X2" i="3"/>
  <c r="D2" i="3"/>
  <c r="Z2" i="3"/>
  <c r="E2" i="3"/>
  <c r="N2" i="3"/>
  <c r="F2" i="3"/>
  <c r="AB2" i="3"/>
  <c r="V2" i="3"/>
  <c r="G2" i="3"/>
  <c r="AC2" i="3"/>
  <c r="AE2" i="3"/>
  <c r="U2" i="3"/>
  <c r="W2" i="3"/>
  <c r="H2" i="3"/>
  <c r="AD2" i="3"/>
  <c r="I2" i="3"/>
  <c r="P2" i="3"/>
  <c r="J2" i="3"/>
  <c r="B2" i="3"/>
  <c r="K2" i="3"/>
  <c r="R2" i="3"/>
  <c r="L2" i="3"/>
  <c r="M2" i="3"/>
  <c r="Q2" i="3"/>
  <c r="S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<sst xmlns="http://schemas.openxmlformats.org/spreadsheetml/2006/main" count="1069" uniqueCount="448">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</sst>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388</v>
      </c>
      <c r="C1" s="68">
        <v>46185</v>
      </c>
      <c r="H1" t="s">
        <v>324</v>
      </c>
      <c r="I1" t="s">
        <v>325</v>
      </c>
    </row>
    <row r="2" spans="1:9" x14ac:dyDescent="0.25">
      <c r="B2" t="str">
        <f>VLOOKUP(B1,H2:I52,2)</f>
        <v>NY</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7492254.1072028158</v>
      </c>
      <c r="C2">
        <f>SUMIFS('state calcs'!C62:C112,'state calcs'!$A$62:$A$112,About!$B$2)</f>
        <v>7591931.8163865386</v>
      </c>
      <c r="D2">
        <f>SUMIFS('state calcs'!D62:D112,'state calcs'!$A$62:$A$112,About!$B$2)</f>
        <v>7646483.4746862147</v>
      </c>
      <c r="E2">
        <f>SUMIFS('state calcs'!E62:E112,'state calcs'!$A$62:$A$112,About!$B$2)</f>
        <v>7701023.4116153568</v>
      </c>
      <c r="F2">
        <f>SUMIFS('state calcs'!F62:F112,'state calcs'!$A$62:$A$112,About!$B$2)</f>
        <v>7757031.0424398156</v>
      </c>
      <c r="G2">
        <f>SUMIFS('state calcs'!G62:G112,'state calcs'!$A$62:$A$112,About!$B$2)</f>
        <v>7812695.2796751801</v>
      </c>
      <c r="H2">
        <f>SUMIFS('state calcs'!H62:H112,'state calcs'!$A$62:$A$112,About!$B$2)</f>
        <v>7868576.87986176</v>
      </c>
      <c r="I2">
        <f>SUMIFS('state calcs'!I62:I112,'state calcs'!$A$62:$A$112,About!$B$2)</f>
        <v>7924820.4138919124</v>
      </c>
      <c r="J2">
        <f>SUMIFS('state calcs'!J62:J112,'state calcs'!$A$62:$A$112,About!$B$2)</f>
        <v>7980370.9382199096</v>
      </c>
      <c r="K2">
        <f>SUMIFS('state calcs'!K62:K112,'state calcs'!$A$62:$A$112,About!$B$2)</f>
        <v>8033956.4856560603</v>
      </c>
      <c r="L2">
        <f>SUMIFS('state calcs'!L62:L112,'state calcs'!$A$62:$A$112,About!$B$2)</f>
        <v>8076479.7854717495</v>
      </c>
      <c r="M2">
        <f>SUMIFS('state calcs'!M62:M112,'state calcs'!$A$62:$A$112,About!$B$2)</f>
        <v>8118234.4806337021</v>
      </c>
      <c r="N2">
        <f>SUMIFS('state calcs'!N62:N112,'state calcs'!$A$62:$A$112,About!$B$2)</f>
        <v>8158261.9450365668</v>
      </c>
      <c r="O2">
        <f>SUMIFS('state calcs'!O62:O112,'state calcs'!$A$62:$A$112,About!$B$2)</f>
        <v>8195983.881692485</v>
      </c>
      <c r="P2">
        <f>SUMIFS('state calcs'!P62:P112,'state calcs'!$A$62:$A$112,About!$B$2)</f>
        <v>8232601.8167656483</v>
      </c>
      <c r="Q2">
        <f>SUMIFS('state calcs'!Q62:Q112,'state calcs'!$A$62:$A$112,About!$B$2)</f>
        <v>8269080.1976337479</v>
      </c>
      <c r="R2">
        <f>SUMIFS('state calcs'!R62:R112,'state calcs'!$A$62:$A$112,About!$B$2)</f>
        <v>8304931.1936148899</v>
      </c>
      <c r="S2">
        <f>SUMIFS('state calcs'!S62:S112,'state calcs'!$A$62:$A$112,About!$B$2)</f>
        <v>8340298.7482275041</v>
      </c>
      <c r="T2">
        <f>SUMIFS('state calcs'!T62:T112,'state calcs'!$A$62:$A$112,About!$B$2)</f>
        <v>8374997.879692113</v>
      </c>
      <c r="U2">
        <f>SUMIFS('state calcs'!U62:U112,'state calcs'!$A$62:$A$112,About!$B$2)</f>
        <v>8410172.5858569015</v>
      </c>
      <c r="V2">
        <f>SUMIFS('state calcs'!V62:V112,'state calcs'!$A$62:$A$112,About!$B$2)</f>
        <v>8442544.3745566793</v>
      </c>
      <c r="W2">
        <f>SUMIFS('state calcs'!W62:W112,'state calcs'!$A$62:$A$112,About!$B$2)</f>
        <v>8473713.9945917781</v>
      </c>
      <c r="X2">
        <f>SUMIFS('state calcs'!X62:X112,'state calcs'!$A$62:$A$112,About!$B$2)</f>
        <v>8504148.6087826006</v>
      </c>
      <c r="Y2">
        <f>SUMIFS('state calcs'!Y62:Y112,'state calcs'!$A$62:$A$112,About!$B$2)</f>
        <v>8533898.8192162476</v>
      </c>
      <c r="Z2">
        <f>SUMIFS('state calcs'!Z62:Z112,'state calcs'!$A$62:$A$112,About!$B$2)</f>
        <v>8563031.95173233</v>
      </c>
      <c r="AA2">
        <f>SUMIFS('state calcs'!AA62:AA112,'state calcs'!$A$62:$A$112,About!$B$2)</f>
        <v>8591339.387446966</v>
      </c>
      <c r="AB2">
        <f>SUMIFS('state calcs'!AB62:AB112,'state calcs'!$A$62:$A$112,About!$B$2)</f>
        <v>8619190.3959585745</v>
      </c>
      <c r="AC2">
        <f>SUMIFS('state calcs'!AC62:AC112,'state calcs'!$A$62:$A$112,About!$B$2)</f>
        <v>8646186.4792557303</v>
      </c>
      <c r="AD2">
        <f>SUMIFS('state calcs'!AD62:AD112,'state calcs'!$A$62:$A$112,About!$B$2)</f>
        <v>8672276.5435371697</v>
      </c>
      <c r="AE2">
        <f>SUMIFS('state calcs'!AE62:AE112,'state calcs'!$A$62:$A$112,About!$B$2)</f>
        <v>8697639.3939798307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2026-06-12T19:29:34Z</dcterms:modified>
</cp:coreProperties>
</file>