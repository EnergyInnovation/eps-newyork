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SYTaDC\"/>
    </mc:Choice>
  </mc:AlternateContent>
  <xr:revisionPtr revIDLastSave="0" documentId="8_{97B9CAEF-343C-4252-A163-48C7B6EBFBB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<sst xmlns="http://schemas.openxmlformats.org/spreadsheetml/2006/main" count="264" uniqueCount="144">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</sst>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80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NY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New York</v>
      </c>
    </row>
    <row r="44" spans="1:42" x14ac:dyDescent="0.25">
      <c r="A44" t="s">
        <v>143</v>
      </c>
      <c r="B44" s="15">
        <f>SUMIFS('HIFLD Outputs'!$F$2:$F$49,'HIFLD Outputs'!$B$2:$B$49,'Data National'!$A$43)*B34</f>
        <v>4310188.8400098737</v>
      </c>
      <c r="C44" s="15">
        <f>SUMIFS('HIFLD Outputs'!$F$2:$F$49,'HIFLD Outputs'!$B$2:$B$49,'Data National'!$A$43)*C34</f>
        <v>4313464.0594931636</v>
      </c>
      <c r="D44" s="15">
        <f>SUMIFS('HIFLD Outputs'!$F$2:$F$49,'HIFLD Outputs'!$B$2:$B$49,'Data National'!$A$43)*D34</f>
        <v>4316739.2789764544</v>
      </c>
      <c r="E44" s="15">
        <f>SUMIFS('HIFLD Outputs'!$F$2:$F$49,'HIFLD Outputs'!$B$2:$B$49,'Data National'!$A$43)*E34</f>
        <v>4320014.4984597443</v>
      </c>
      <c r="F44" s="15">
        <f>SUMIFS('HIFLD Outputs'!$F$2:$F$49,'HIFLD Outputs'!$B$2:$B$49,'Data National'!$A$43)*F34</f>
        <v>4323289.7179430341</v>
      </c>
      <c r="G44" s="15">
        <f>SUMIFS('HIFLD Outputs'!$F$2:$F$49,'HIFLD Outputs'!$B$2:$B$49,'Data National'!$A$43)*G34</f>
        <v>4326564.9374263249</v>
      </c>
      <c r="H44" s="15">
        <f>SUMIFS('HIFLD Outputs'!$F$2:$F$49,'HIFLD Outputs'!$B$2:$B$49,'Data National'!$A$43)*H34</f>
        <v>4329840.1569096148</v>
      </c>
      <c r="I44" s="15">
        <f>SUMIFS('HIFLD Outputs'!$F$2:$F$49,'HIFLD Outputs'!$B$2:$B$49,'Data National'!$A$43)*I34</f>
        <v>4333115.3763929056</v>
      </c>
      <c r="J44" s="15">
        <f>SUMIFS('HIFLD Outputs'!$F$2:$F$49,'HIFLD Outputs'!$B$2:$B$49,'Data National'!$A$43)*J34</f>
        <v>4336390.5958761955</v>
      </c>
      <c r="K44" s="15">
        <f>SUMIFS('HIFLD Outputs'!$F$2:$F$49,'HIFLD Outputs'!$B$2:$B$49,'Data National'!$A$43)*K34</f>
        <v>4339665.8153594863</v>
      </c>
      <c r="L44" s="15">
        <f>SUMIFS('HIFLD Outputs'!$F$2:$F$49,'HIFLD Outputs'!$B$2:$B$49,'Data National'!$A$43)*L34</f>
        <v>4342941.0348427761</v>
      </c>
      <c r="M44" s="15">
        <f>SUMIFS('HIFLD Outputs'!$F$2:$F$49,'HIFLD Outputs'!$B$2:$B$49,'Data National'!$A$43)*M34</f>
        <v>4346216.254326066</v>
      </c>
      <c r="N44" s="15">
        <f>SUMIFS('HIFLD Outputs'!$F$2:$F$49,'HIFLD Outputs'!$B$2:$B$49,'Data National'!$A$43)*N34</f>
        <v>4349491.4738093568</v>
      </c>
      <c r="O44" s="15">
        <f>SUMIFS('HIFLD Outputs'!$F$2:$F$49,'HIFLD Outputs'!$B$2:$B$49,'Data National'!$A$43)*O34</f>
        <v>4352766.6932926467</v>
      </c>
      <c r="P44" s="15">
        <f>SUMIFS('HIFLD Outputs'!$F$2:$F$49,'HIFLD Outputs'!$B$2:$B$49,'Data National'!$A$43)*P34</f>
        <v>4356041.9127759375</v>
      </c>
      <c r="Q44" s="15">
        <f>SUMIFS('HIFLD Outputs'!$F$2:$F$49,'HIFLD Outputs'!$B$2:$B$49,'Data National'!$A$43)*Q34</f>
        <v>4359317.1322592273</v>
      </c>
      <c r="R44" s="15">
        <f>SUMIFS('HIFLD Outputs'!$F$2:$F$49,'HIFLD Outputs'!$B$2:$B$49,'Data National'!$A$43)*R34</f>
        <v>4362592.3517425172</v>
      </c>
      <c r="S44" s="15">
        <f>SUMIFS('HIFLD Outputs'!$F$2:$F$49,'HIFLD Outputs'!$B$2:$B$49,'Data National'!$A$43)*S34</f>
        <v>4365867.571225808</v>
      </c>
      <c r="T44" s="15">
        <f>SUMIFS('HIFLD Outputs'!$F$2:$F$49,'HIFLD Outputs'!$B$2:$B$49,'Data National'!$A$43)*T34</f>
        <v>4369142.7907090979</v>
      </c>
      <c r="U44" s="15">
        <f>SUMIFS('HIFLD Outputs'!$F$2:$F$49,'HIFLD Outputs'!$B$2:$B$49,'Data National'!$A$43)*U34</f>
        <v>4372418.0101923887</v>
      </c>
      <c r="V44" s="15">
        <f>SUMIFS('HIFLD Outputs'!$F$2:$F$49,'HIFLD Outputs'!$B$2:$B$49,'Data National'!$A$43)*V34</f>
        <v>4375693.2296756785</v>
      </c>
      <c r="W44" s="15">
        <f>SUMIFS('HIFLD Outputs'!$F$2:$F$49,'HIFLD Outputs'!$B$2:$B$49,'Data National'!$A$43)*W34</f>
        <v>4378968.4491589693</v>
      </c>
      <c r="X44" s="15">
        <f>SUMIFS('HIFLD Outputs'!$F$2:$F$49,'HIFLD Outputs'!$B$2:$B$49,'Data National'!$A$43)*X34</f>
        <v>4382243.6686422592</v>
      </c>
      <c r="Y44" s="15">
        <f>SUMIFS('HIFLD Outputs'!$F$2:$F$49,'HIFLD Outputs'!$B$2:$B$49,'Data National'!$A$43)*Y34</f>
        <v>4385518.8881255491</v>
      </c>
      <c r="Z44" s="15">
        <f>SUMIFS('HIFLD Outputs'!$F$2:$F$49,'HIFLD Outputs'!$B$2:$B$49,'Data National'!$A$43)*Z34</f>
        <v>4388794.1076088399</v>
      </c>
      <c r="AA44" s="15">
        <f>SUMIFS('HIFLD Outputs'!$F$2:$F$49,'HIFLD Outputs'!$B$2:$B$49,'Data National'!$A$43)*AA34</f>
        <v>4392069.3270921297</v>
      </c>
      <c r="AB44" s="15">
        <f>SUMIFS('HIFLD Outputs'!$F$2:$F$49,'HIFLD Outputs'!$B$2:$B$49,'Data National'!$A$43)*AB34</f>
        <v>4395344.5465754205</v>
      </c>
      <c r="AC44" s="15">
        <f>SUMIFS('HIFLD Outputs'!$F$2:$F$49,'HIFLD Outputs'!$B$2:$B$49,'Data National'!$A$43)*AC34</f>
        <v>4398619.7660587104</v>
      </c>
      <c r="AD44" s="15">
        <f>SUMIFS('HIFLD Outputs'!$F$2:$F$49,'HIFLD Outputs'!$B$2:$B$49,'Data National'!$A$43)*AD34</f>
        <v>4401894.9855420003</v>
      </c>
      <c r="AE44" s="15">
        <f>SUMIFS('HIFLD Outputs'!$F$2:$F$49,'HIFLD Outputs'!$B$2:$B$49,'Data National'!$A$43)*AE34</f>
        <v>4405170.2050252911</v>
      </c>
      <c r="AF44" s="15">
        <f>SUMIFS('HIFLD Outputs'!$F$2:$F$49,'HIFLD Outputs'!$B$2:$B$49,'Data National'!$A$43)*AF34</f>
        <v>4408445.4245085809</v>
      </c>
      <c r="AG44" s="15">
        <f>SUMIFS('HIFLD Outputs'!$F$2:$F$49,'HIFLD Outputs'!$B$2:$B$49,'Data National'!$A$43)*AG34</f>
        <v>4411720.6439918717</v>
      </c>
      <c r="AH44" s="15">
        <f>SUMIFS('HIFLD Outputs'!$F$2:$F$49,'HIFLD Outputs'!$B$2:$B$49,'Data National'!$A$43)*AH34</f>
        <v>4414995.8634751616</v>
      </c>
      <c r="AI44" s="15">
        <f>SUMIFS('HIFLD Outputs'!$F$2:$F$49,'HIFLD Outputs'!$B$2:$B$49,'Data National'!$A$43)*AI34</f>
        <v>4418271.0829584515</v>
      </c>
      <c r="AJ44" s="15">
        <f>SUMIFS('HIFLD Outputs'!$F$2:$F$49,'HIFLD Outputs'!$B$2:$B$49,'Data National'!$A$43)*AJ34</f>
        <v>4421546.3024417423</v>
      </c>
      <c r="AK44" s="15">
        <f>SUMIFS('HIFLD Outputs'!$F$2:$F$49,'HIFLD Outputs'!$B$2:$B$49,'Data National'!$A$43)*AK34</f>
        <v>4424821.5219250321</v>
      </c>
      <c r="AL44" s="15">
        <f>SUMIFS('HIFLD Outputs'!$F$2:$F$49,'HIFLD Outputs'!$B$2:$B$49,'Data National'!$A$43)*AL34</f>
        <v>4428096.7414083229</v>
      </c>
      <c r="AM44" s="15">
        <f>SUMIFS('HIFLD Outputs'!$F$2:$F$49,'HIFLD Outputs'!$B$2:$B$49,'Data National'!$A$43)*AM34</f>
        <v>4431371.9608916128</v>
      </c>
      <c r="AN44" s="15">
        <f>SUMIFS('HIFLD Outputs'!$F$2:$F$49,'HIFLD Outputs'!$B$2:$B$49,'Data National'!$A$43)*AN34</f>
        <v>4434647.1803749036</v>
      </c>
      <c r="AO44" s="15">
        <f>SUMIFS('HIFLD Outputs'!$F$2:$F$49,'HIFLD Outputs'!$B$2:$B$49,'Data National'!$A$43)*AO34</f>
        <v>4437922.3998581935</v>
      </c>
      <c r="AP44" s="15">
        <f>SUMIFS('HIFLD Outputs'!$F$2:$F$49,'HIFLD Outputs'!$B$2:$B$49,'Data National'!$A$43)*AP34</f>
        <v>4441197.6193414833</v>
      </c>
    </row>
    <row r="45" spans="1:42" x14ac:dyDescent="0.25">
      <c r="A45" s="16" t="s">
        <v>15</v>
      </c>
      <c r="B45" s="17">
        <f>B37*SUMIFS('HIFLD Outputs'!$F$2:$F$49,'HIFLD Outputs'!$B$2:$B$49,$A$43)</f>
        <v>346422156.220806</v>
      </c>
    </row>
    <row r="46" spans="1:42" x14ac:dyDescent="0.25">
      <c r="A46" s="16" t="s">
        <v>14</v>
      </c>
      <c r="B46" s="17">
        <f>B38*SUMIFS('HIFLD Outputs'!$F$2:$F$49,'HIFLD Outputs'!$B$2:$B$49,$A$43)</f>
        <v>544675799.84114671</v>
      </c>
    </row>
    <row r="47" spans="1:42" x14ac:dyDescent="0.25">
      <c r="A47" s="16" t="s">
        <v>16</v>
      </c>
      <c r="B47" s="17">
        <f>B39*SUMIFS('HIFLD Outputs'!$F$2:$F$49,'HIFLD Outputs'!$B$2:$B$49,$A$43)</f>
        <v>490416907.9029482</v>
      </c>
    </row>
    <row r="48" spans="1:42" x14ac:dyDescent="0.25">
      <c r="A48" s="16" t="s">
        <v>17</v>
      </c>
      <c r="B48" s="17">
        <f>B40*SUMIFS('HIFLD Outputs'!$F$2:$F$49,'HIFLD Outputs'!$B$2:$B$49,$A$43)</f>
        <v>655280464.17670524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346422156.220806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544675799.84114671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490416907.9029482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655280464.17670524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2026-06-12T20:50:01Z</dcterms:modified>
</cp:coreProperties>
</file>