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york\InputData\trans\BESP\"/>
    </mc:Choice>
  </mc:AlternateContent>
  <xr:revisionPtr revIDLastSave="0" documentId="13_ncr:1_{C760352E-0896-480A-B28E-2B15059A9440}" xr6:coauthVersionLast="47" xr6:coauthVersionMax="47" xr10:uidLastSave="{00000000-0000-0000-0000-000000000000}"/>
  <bookViews>
    <workbookView xWindow="60855" yWindow="2610" windowWidth="21600" windowHeight="12525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F3" i="2"/>
  <c r="G3" i="2"/>
  <c r="H3" i="2"/>
  <c r="I3" i="2"/>
  <c r="J3" i="2"/>
  <c r="J33" i="2" s="1"/>
  <c r="N2" i="6" s="1"/>
  <c r="K3" i="2"/>
  <c r="L3" i="2"/>
  <c r="L33" i="2" s="1"/>
  <c r="P2" i="6" s="1"/>
  <c r="M3" i="2"/>
  <c r="M33" i="2" s="1"/>
  <c r="Q2" i="6" s="1"/>
  <c r="N3" i="2"/>
  <c r="O3" i="2"/>
  <c r="P3" i="2"/>
  <c r="P33" i="2" s="1"/>
  <c r="T2" i="6" s="1"/>
  <c r="Q3" i="2"/>
  <c r="R3" i="2"/>
  <c r="R33" i="2" s="1"/>
  <c r="V2" i="6" s="1"/>
  <c r="S3" i="2"/>
  <c r="T3" i="2"/>
  <c r="T33" i="2" s="1"/>
  <c r="X2" i="6" s="1"/>
  <c r="U3" i="2"/>
  <c r="U33" i="2" s="1"/>
  <c r="Y2" i="6" s="1"/>
  <c r="V3" i="2"/>
  <c r="W3" i="2"/>
  <c r="X3" i="2"/>
  <c r="Y3" i="2"/>
  <c r="Z3" i="2"/>
  <c r="Z33" i="2" s="1"/>
  <c r="AD2" i="6" s="1"/>
  <c r="AA3" i="2"/>
  <c r="AB3" i="2"/>
  <c r="AC3" i="2"/>
  <c r="AD3" i="2"/>
  <c r="AE3" i="2"/>
  <c r="AF3" i="2"/>
  <c r="B26" i="2"/>
  <c r="I33" i="2"/>
  <c r="M2" i="6" s="1"/>
  <c r="K33" i="2"/>
  <c r="O2" i="6" s="1"/>
  <c r="N33" i="2"/>
  <c r="O33" i="2"/>
  <c r="Q33" i="2"/>
  <c r="U2" i="6" s="1"/>
  <c r="S33" i="2"/>
  <c r="W2" i="6" s="1"/>
  <c r="V33" i="2"/>
  <c r="W33" i="2"/>
  <c r="X33" i="2"/>
  <c r="AB2" i="6" s="1"/>
  <c r="Y33" i="2"/>
  <c r="AC2" i="6" s="1"/>
  <c r="AA33" i="2"/>
  <c r="AE2" i="6" s="1"/>
  <c r="E33" i="2"/>
  <c r="F33" i="2"/>
  <c r="G33" i="2"/>
  <c r="H33" i="2"/>
  <c r="L2" i="6" s="1"/>
  <c r="R2" i="6"/>
  <c r="S2" i="6"/>
  <c r="Z2" i="6"/>
  <c r="AA2" i="6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9" i="3" l="1"/>
  <c r="D9" i="3" s="1"/>
  <c r="E9" i="3" s="1"/>
  <c r="C15" i="3"/>
  <c r="D15" i="3" s="1"/>
  <c r="E15" i="3" s="1"/>
  <c r="C11" i="3"/>
  <c r="D11" i="3" s="1"/>
  <c r="C18" i="3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K2" i="6" s="1"/>
  <c r="I24" i="2"/>
  <c r="H35" i="2" s="1"/>
  <c r="L3" i="6" s="1"/>
  <c r="H23" i="2"/>
  <c r="J2" i="6" s="1"/>
  <c r="H24" i="2"/>
  <c r="G35" i="2" s="1"/>
  <c r="K3" i="6" s="1"/>
  <c r="G23" i="2"/>
  <c r="I2" i="6" s="1"/>
  <c r="E4" i="3"/>
  <c r="C77" i="3"/>
  <c r="E7" i="3"/>
  <c r="E18" i="3"/>
  <c r="C81" i="3"/>
  <c r="E11" i="3"/>
  <c r="E5" i="3"/>
  <c r="E13" i="3"/>
  <c r="C85" i="3" l="1"/>
  <c r="C79" i="3"/>
  <c r="E12" i="3"/>
  <c r="E8" i="3"/>
  <c r="E16" i="3"/>
  <c r="F1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A33" i="2" l="1"/>
  <c r="D92" i="3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K92" i="3" l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3" i="3"/>
  <c r="V79" i="3"/>
  <c r="X9" i="3"/>
  <c r="V86" i="3"/>
  <c r="X16" i="3"/>
  <c r="V83" i="3"/>
  <c r="X13" i="3"/>
  <c r="T92" i="3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Z92" i="3" l="1"/>
  <c r="AB87" i="3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3" i="2" s="1"/>
  <c r="AG2" i="6" s="1"/>
  <c r="AF92" i="3" l="1"/>
  <c r="AD33" i="2" s="1"/>
  <c r="AH2" i="6" s="1"/>
  <c r="AG89" i="3"/>
  <c r="AI19" i="3"/>
  <c r="AH89" i="3" s="1"/>
  <c r="AG73" i="3"/>
  <c r="AG92" i="3" s="1"/>
  <c r="AE33" i="2" s="1"/>
  <c r="AI2" i="6" s="1"/>
  <c r="AI3" i="3"/>
  <c r="AH73" i="3" s="1"/>
  <c r="AH92" i="3" s="1"/>
  <c r="AF33" i="2" s="1"/>
  <c r="AJ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<sst xmlns="http://schemas.openxmlformats.org/spreadsheetml/2006/main" count="556" uniqueCount="285">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</sst>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5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93.391117476851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7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7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16" workbookViewId="0">
      <selection activeCell="A45" sqref="A45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86</v>
      </c>
      <c r="C1" s="39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NY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1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38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A45" s="42">
        <v>0.88711067149387013</v>
      </c>
      <c r="B45" s="4" t="s">
        <v>284</v>
      </c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workbookViewId="0">
      <selection activeCell="G20" sqref="G20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f>BAU!G92</f>
        <v>1531.9111519939402</v>
      </c>
      <c r="F3" s="11">
        <f>BAU!H92</f>
        <v>1131.4322818029341</v>
      </c>
      <c r="G3" s="11">
        <f>BAU!I92</f>
        <v>933.18813916995919</v>
      </c>
      <c r="H3" s="11">
        <f>BAU!J92</f>
        <v>933.18813916995953</v>
      </c>
      <c r="I3" s="11">
        <f>BAU!K92</f>
        <v>744.00735890914916</v>
      </c>
      <c r="J3" s="11">
        <f>BAU!L92</f>
        <v>744.00735890914984</v>
      </c>
      <c r="K3" s="11">
        <f>BAU!M92</f>
        <v>621.92251501542137</v>
      </c>
      <c r="L3" s="11">
        <f>BAU!N92</f>
        <v>240.24673989502756</v>
      </c>
      <c r="M3" s="11">
        <f>BAU!O92</f>
        <v>18.397272874844433</v>
      </c>
      <c r="N3" s="11">
        <f>BAU!P92</f>
        <v>18.397272874844436</v>
      </c>
      <c r="O3" s="11">
        <f>BAU!Q92</f>
        <v>18.397272874844433</v>
      </c>
      <c r="P3" s="11">
        <f>BAU!R92</f>
        <v>18.397272874844436</v>
      </c>
      <c r="Q3" s="11">
        <f>BAU!S92</f>
        <v>18.397272874844433</v>
      </c>
      <c r="R3" s="11">
        <f>BAU!T92</f>
        <v>18.397272874844433</v>
      </c>
      <c r="S3" s="11">
        <f>BAU!U92</f>
        <v>18.397272874844436</v>
      </c>
      <c r="T3" s="11">
        <f>BAU!V92</f>
        <v>0</v>
      </c>
      <c r="U3" s="11">
        <f>BAU!W92</f>
        <v>0</v>
      </c>
      <c r="V3" s="11">
        <f>BAU!X92</f>
        <v>0</v>
      </c>
      <c r="W3" s="11">
        <f>BAU!Y92</f>
        <v>0</v>
      </c>
      <c r="X3" s="11">
        <f>BAU!Z92</f>
        <v>0</v>
      </c>
      <c r="Y3" s="11">
        <f>BAU!AA92</f>
        <v>0</v>
      </c>
      <c r="Z3" s="11">
        <f>BAU!AB92</f>
        <v>0</v>
      </c>
      <c r="AA3" s="11">
        <f>BAU!AC92</f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0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NY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2000</v>
      </c>
      <c r="D23" s="10">
        <f t="shared" si="1"/>
        <v>2000</v>
      </c>
      <c r="E23" s="10">
        <f t="shared" si="1"/>
        <v>2000</v>
      </c>
      <c r="F23" s="10">
        <f t="shared" si="1"/>
        <v>2000</v>
      </c>
      <c r="G23" s="10">
        <f t="shared" si="1"/>
        <v>2000</v>
      </c>
      <c r="H23" s="10">
        <f t="shared" si="1"/>
        <v>2000</v>
      </c>
      <c r="I23" s="10">
        <f t="shared" si="1"/>
        <v>2000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>
        <f>C23*About!A45</f>
        <v>1774.2213429877402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4745.8606136031603</v>
      </c>
      <c r="B33" s="12">
        <f>(B3+C23)</f>
        <v>4745.8606136031594</v>
      </c>
      <c r="C33" s="12">
        <f t="shared" ref="C33:AF33" si="2">(C3+D23)</f>
        <v>4745.8606136031603</v>
      </c>
      <c r="D33" s="12">
        <f t="shared" si="2"/>
        <v>3913.0458308533107</v>
      </c>
      <c r="E33" s="12">
        <f t="shared" si="2"/>
        <v>3531.9111519939402</v>
      </c>
      <c r="F33" s="12">
        <f t="shared" si="2"/>
        <v>3131.4322818029341</v>
      </c>
      <c r="G33" s="12">
        <f t="shared" si="2"/>
        <v>2933.188139169959</v>
      </c>
      <c r="H33" s="12">
        <f t="shared" si="2"/>
        <v>2933.1881391699594</v>
      </c>
      <c r="I33" s="12">
        <f t="shared" si="2"/>
        <v>744.00735890914916</v>
      </c>
      <c r="J33" s="12">
        <f t="shared" si="2"/>
        <v>744.00735890914984</v>
      </c>
      <c r="K33" s="12">
        <f t="shared" si="2"/>
        <v>621.92251501542137</v>
      </c>
      <c r="L33" s="12">
        <f t="shared" si="2"/>
        <v>240.24673989502756</v>
      </c>
      <c r="M33" s="12">
        <f t="shared" si="2"/>
        <v>18.397272874844433</v>
      </c>
      <c r="N33" s="12">
        <f t="shared" si="2"/>
        <v>18.397272874844436</v>
      </c>
      <c r="O33" s="12">
        <f t="shared" si="2"/>
        <v>18.397272874844433</v>
      </c>
      <c r="P33" s="12">
        <f t="shared" si="2"/>
        <v>18.397272874844436</v>
      </c>
      <c r="Q33" s="12">
        <f t="shared" si="2"/>
        <v>18.397272874844433</v>
      </c>
      <c r="R33" s="12">
        <f t="shared" si="2"/>
        <v>18.397272874844433</v>
      </c>
      <c r="S33" s="12">
        <f t="shared" si="2"/>
        <v>18.397272874844436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opLeftCell="Q1" workbookViewId="0">
      <selection activeCell="F2" sqref="F2:AJ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43">
        <f>C2</f>
        <v>4210.1035957498098</v>
      </c>
      <c r="C2" s="43">
        <f>D2</f>
        <v>4210.1035957498098</v>
      </c>
      <c r="D2" s="43">
        <f>E2</f>
        <v>4210.1035957498098</v>
      </c>
      <c r="E2" s="12">
        <f>Data!A33*About!$A45</f>
        <v>4210.1035957498098</v>
      </c>
      <c r="F2" s="12">
        <f>Data!B33*About!$A45</f>
        <v>4210.1035957498088</v>
      </c>
      <c r="G2" s="12">
        <f>Data!C33*About!$A45</f>
        <v>4210.1035957498098</v>
      </c>
      <c r="H2" s="12">
        <f>Data!D33*About!$A45</f>
        <v>3471.3047145945693</v>
      </c>
      <c r="I2" s="12">
        <f>Data!E33*About!$A45</f>
        <v>3133.1960737020327</v>
      </c>
      <c r="J2" s="12">
        <f>Data!F33*About!$A45</f>
        <v>2777.9269942477827</v>
      </c>
      <c r="K2" s="12">
        <f>Data!G33*About!$A45</f>
        <v>2602.0624997569175</v>
      </c>
      <c r="L2" s="12">
        <f>Data!H33*About!$A45</f>
        <v>2602.062499756918</v>
      </c>
      <c r="M2" s="12">
        <f>Data!I33*About!$A45</f>
        <v>660.01686775827613</v>
      </c>
      <c r="N2" s="12">
        <f>Data!J33*About!$A45</f>
        <v>660.0168677582767</v>
      </c>
      <c r="O2" s="12">
        <f>Data!K33*About!$A45</f>
        <v>551.71409991248697</v>
      </c>
      <c r="P2" s="12">
        <f>Data!L33*About!$A45</f>
        <v>213.12544675249106</v>
      </c>
      <c r="Q2" s="12">
        <f>Data!M33*About!$A45</f>
        <v>16.320417093659206</v>
      </c>
      <c r="R2" s="12">
        <f>Data!N33*About!$A45</f>
        <v>16.320417093659209</v>
      </c>
      <c r="S2" s="12">
        <f>Data!O33*About!$A45</f>
        <v>16.320417093659206</v>
      </c>
      <c r="T2" s="12">
        <f>Data!P33*About!$A45</f>
        <v>16.320417093659209</v>
      </c>
      <c r="U2" s="12">
        <f>Data!Q33*About!$A45</f>
        <v>16.320417093659206</v>
      </c>
      <c r="V2" s="12">
        <f>Data!R33*About!$A45</f>
        <v>16.320417093659206</v>
      </c>
      <c r="W2" s="12">
        <f>Data!S33*About!$A45</f>
        <v>16.320417093659209</v>
      </c>
      <c r="X2" s="12">
        <f>Data!T33*About!$A45</f>
        <v>0</v>
      </c>
      <c r="Y2" s="12">
        <f>Data!U33*About!$A45</f>
        <v>0</v>
      </c>
      <c r="Z2" s="12">
        <f>Data!V33*About!$A45</f>
        <v>0</v>
      </c>
      <c r="AA2" s="12">
        <f>Data!W33*About!$A45</f>
        <v>0</v>
      </c>
      <c r="AB2" s="12">
        <f>Data!X33*About!$A45</f>
        <v>0</v>
      </c>
      <c r="AC2" s="12">
        <f>Data!Y33*About!$A45</f>
        <v>0</v>
      </c>
      <c r="AD2" s="12">
        <f>Data!Z33*About!$A45</f>
        <v>0</v>
      </c>
      <c r="AE2" s="12">
        <f>Data!AA33*About!$A45</f>
        <v>0</v>
      </c>
      <c r="AF2" s="12">
        <f>Data!AB33*About!$A45</f>
        <v>0</v>
      </c>
      <c r="AG2" s="12">
        <f>Data!AC33*About!$A45</f>
        <v>0</v>
      </c>
      <c r="AH2" s="12">
        <f>Data!AD33*About!$A45</f>
        <v>0</v>
      </c>
      <c r="AI2" s="12">
        <f>Data!AE33*About!$A45</f>
        <v>0</v>
      </c>
      <c r="AJ2" s="12">
        <f>Data!AF33*About!$A45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2023-03-08T14:24:44Z</dcterms:modified>
</cp:coreProperties>
</file>