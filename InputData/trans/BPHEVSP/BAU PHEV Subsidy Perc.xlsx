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327"/>
  <workbookPr hidePivotFieldList="1" defaultThemeVersion="124226"/>
  <mc:AlternateContent xmlns:mc="http://schemas.openxmlformats.org/markup-compatibility/2006">
    <mc:Choice Requires="x15">
      <x15ac:absPath xmlns:x15ac="http://schemas.microsoft.com/office/spreadsheetml/2010/11/ac" url="C:\Users\Olivia Ashmoore\Documents\EPS_Models by Region\RMI\RMI_all_states\NY\trans\BPHEVSP\"/>
    </mc:Choice>
  </mc:AlternateContent>
  <xr:revisionPtr revIDLastSave="0" documentId="8_{0BD9E34D-63DF-4825-AD4D-5FBA4C932EDA}" xr6:coauthVersionLast="47" xr6:coauthVersionMax="47" xr10:uidLastSave="{00000000-0000-0000-0000-000000000000}"/>
  <bookViews>
    <workbookView xWindow="360" yWindow="360" windowWidth="14400" windowHeight="7350"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 i="1" l="1"/>
  <c r="B31" i="14" s="1"/>
  <c r="D33" i="14" l="1"/>
  <c r="H33" i="14"/>
  <c r="C33" i="14"/>
  <c r="C38" i="14" s="1"/>
  <c r="E33" i="14"/>
  <c r="F33" i="14"/>
  <c r="G33" i="14"/>
  <c r="I33" i="14"/>
  <c r="K33" i="14"/>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D104" i="15"/>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E84" i="15" l="1"/>
  <c r="B3" i="14"/>
  <c r="E82" i="15"/>
  <c r="E80" i="15"/>
  <c r="E85" i="15"/>
  <c r="E97" i="15"/>
  <c r="F82" i="15"/>
  <c r="E83" i="15"/>
  <c r="F84" i="15"/>
  <c r="E87" i="15"/>
  <c r="E94" i="15"/>
  <c r="E96" i="15"/>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<sst xmlns="http://schemas.openxmlformats.org/spreadsheetml/2006/main" count="374" uniqueCount="193">
  <si>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</si>
  <si>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</si>
  <si>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</si>
  <si>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</si>
  <si>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</si>
  <si>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</si>
  <si>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</si>
  <si>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</si>
  <si>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</si>
  <si>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</si>
  <si>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</si>
  <si>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</si>
  <si>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</si>
  <si>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</si>
  <si>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</si>
  <si>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</si>
  <si>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</si>
  <si>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</si>
  <si>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</si>
  <si>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</si>
  <si>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</si>
  <si>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</si>
  <si>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</si>
  <si>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</si>
  <si>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</si>
  <si>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</si>
  <si>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</si>
  <si>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</si>
  <si>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</si>
  <si>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</si>
  <si>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</si>
  <si>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</si>
  <si>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</si>
  <si>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</si>
  <si>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</si>
  <si>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</si>
  <si>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</si>
  <si>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</si>
  <si>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</si>
  <si>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</si>
  <si>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</si>
  <si>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</si>
  <si>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</si>
  <si>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</si>
  <si>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</si>
  <si>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</si>
  <si>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</si>
  <si>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</si>
  <si>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</si>
  <si>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</si>
  <si>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</si>
  <si>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</si>
  <si>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</si>
  <si>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</si>
  <si>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</si>
  <si>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</si>
  <si>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</si>
  <si>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</si>
  <si>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</si>
  <si>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</si>
  <si>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</si>
  <si>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</si>
  <si>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</si>
  <si>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</si>
  <si>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</si>
  <si>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</si>
  <si>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</si>
  <si>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</si>
  <si>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</si>
  <si>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</si>
  <si>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</si>
  <si>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</si>
  <si>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</si>
  <si>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</si>
  <si>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</si>
  <si>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</si>
  <si>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</si>
  <si>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</si>
  <si>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</si>
  <si>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</si>
  <si>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</si>
  <si>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</si>
  <si>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</si>
  <si>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</si>
  <si>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</si>
  <si>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</si>
  <si>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</si>
  <si>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</si>
  <si>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</si>
  <si>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</si>
  <si>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</si>
  <si>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</si>
  <si>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</si>
  <si>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</si>
  <si>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</si>
  <si>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</si>
  <si>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</si>
  <si>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</si>
  <si>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</si>
  <si>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</si>
  <si>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</si>
  <si>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</si>
  <si>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</si>
  <si>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</si>
  <si>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</si>
  <si>
    <t>Subsidy goes up to 2000 based on battery &amp; price</t>
  </si>
  <si>
    <t>California</t>
  </si>
  <si>
    <t>Alabama</t>
  </si>
  <si>
    <t>AL</t>
  </si>
  <si>
    <t>Alaska</t>
  </si>
  <si>
    <t>AK</t>
  </si>
  <si>
    <t>Arizona</t>
  </si>
  <si>
    <t>AZ</t>
  </si>
  <si>
    <t>Arkansas</t>
  </si>
  <si>
    <t>AR</t>
  </si>
  <si>
    <t>Colorado</t>
  </si>
  <si>
    <t>Connecticut</t>
  </si>
  <si>
    <t>Delaware</t>
  </si>
  <si>
    <t>Florida</t>
  </si>
  <si>
    <t>FL</t>
  </si>
  <si>
    <t>Georgia</t>
  </si>
  <si>
    <t>GA</t>
  </si>
  <si>
    <t>Hawaii</t>
  </si>
  <si>
    <t>HI</t>
  </si>
  <si>
    <t>Idaho</t>
  </si>
  <si>
    <t>ID</t>
  </si>
  <si>
    <t>Illinois</t>
  </si>
  <si>
    <t>IL</t>
  </si>
  <si>
    <t>Indiana</t>
  </si>
  <si>
    <t>IN</t>
  </si>
  <si>
    <t>Iowa</t>
  </si>
  <si>
    <t>IA</t>
  </si>
  <si>
    <t>Kansas</t>
  </si>
  <si>
    <t>KS</t>
  </si>
  <si>
    <t>Kentucky</t>
  </si>
  <si>
    <t>KY</t>
  </si>
  <si>
    <t>Louisiana</t>
  </si>
  <si>
    <t>Maine</t>
  </si>
  <si>
    <t>Maryland</t>
  </si>
  <si>
    <t>Massachusetts</t>
  </si>
  <si>
    <t>Michigan</t>
  </si>
  <si>
    <t>MI</t>
  </si>
  <si>
    <t>Minnesota</t>
  </si>
  <si>
    <t>MN</t>
  </si>
  <si>
    <t>Mississippi</t>
  </si>
  <si>
    <t>MS</t>
  </si>
  <si>
    <t>Missouri</t>
  </si>
  <si>
    <t>MO</t>
  </si>
  <si>
    <t>Montana</t>
  </si>
  <si>
    <t>MT</t>
  </si>
  <si>
    <t>Nebraska</t>
  </si>
  <si>
    <t>NE</t>
  </si>
  <si>
    <t>Nevada</t>
  </si>
  <si>
    <t>NV</t>
  </si>
  <si>
    <t>New Hampshire</t>
  </si>
  <si>
    <t>NH</t>
  </si>
  <si>
    <t>New Jersey</t>
  </si>
  <si>
    <t>New Mexico</t>
  </si>
  <si>
    <t>NM</t>
  </si>
  <si>
    <t>New York</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</si>
  <si>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</si>
  <si>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</si>
  <si>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</si>
  <si>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</si>
  <si>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</si>
  <si>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</si>
  <si>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</si>
  <si>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</si>
  <si>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</si>
  <si>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</si>
  <si>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</si>
  <si>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</si>
  <si>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</si>
  <si>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</si>
  <si>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</si>
  <si>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</si>
  <si>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</si>
  <si>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</si>
  <si>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</si>
  <si>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</si>
  <si>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Utah</t>
  </si>
  <si>
    <t>UT</t>
  </si>
  <si>
    <t>Vermont</t>
  </si>
  <si>
    <t>Virginia</t>
  </si>
  <si>
    <t>VA</t>
  </si>
  <si>
    <t>Washington</t>
  </si>
  <si>
    <t>WA</t>
  </si>
  <si>
    <t>West Virginia</t>
  </si>
  <si>
    <t>WV</t>
  </si>
  <si>
    <t>Wisconsin</t>
  </si>
  <si>
    <t>WI</t>
  </si>
  <si>
    <t>Wyoming</t>
  </si>
  <si>
    <t>WY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</si>
</sst>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12"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
      <sz val="11"/>
      <color theme="1"/>
      <name val="Arial"/>
      <family val="2"/>
    </font>
    <font>
      <b/>
      <sz val="11"/>
      <color rgb="FF403F41"/>
      <name val="Calibri"/>
      <family val="2"/>
    </font>
    <font>
      <sz val="11"/>
      <color rgb="FF403F41"/>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33">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xf numFmtId="0" fontId="9" fillId="0" borderId="0" xfId="0" applyFont="1" applyAlignment="1">
      <alignment horizontal="left"/>
    </xf>
    <xf numFmtId="0" fontId="10" fillId="0" borderId="0" xfId="0" applyFont="1" applyAlignment="1">
      <alignment vertical="center"/>
    </xf>
    <xf numFmtId="0" fontId="5" fillId="0" borderId="0" xfId="0" applyFont="1" applyAlignment="1">
      <alignment horizontal="left"/>
    </xf>
    <xf numFmtId="0" fontId="11" fillId="0" borderId="0" xfId="0" applyFont="1"/>
    <xf numFmtId="14" fontId="0" fillId="0" borderId="0" xfId="0" applyNumberFormat="1"/>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tabSelected="1" workbookViewId="0">
      <selection activeCell="D15" sqref="D15"/>
    </sheetView>
  </sheetViews>
  <sheetFormatPr defaultColWidth="9.1328125" defaultRowHeight="14.75" x14ac:dyDescent="0.75"/>
  <cols>
    <col min="2" max="2" width="70.86328125" style="3" customWidth="1"/>
  </cols>
  <sheetData>
    <row r="1" spans="1:7" x14ac:dyDescent="0.75">
      <c r="A1" s="1" t="s">
        <v>101</v>
      </c>
      <c r="B1" s="28" t="s">
        <v>159</v>
      </c>
      <c r="C1" s="32">
        <v>45051</v>
      </c>
      <c r="F1" s="29" t="s">
        <v>8</v>
      </c>
      <c r="G1" s="29" t="s">
        <v>8</v>
      </c>
    </row>
    <row r="2" spans="1:7" x14ac:dyDescent="0.75">
      <c r="B2" s="30" t="str">
        <f>LOOKUP(B1,F2:G51,G2:G51)</f>
        <v>NY</v>
      </c>
      <c r="F2" s="31" t="s">
        <v>107</v>
      </c>
      <c r="G2" s="31" t="s">
        <v>108</v>
      </c>
    </row>
    <row r="3" spans="1:7" x14ac:dyDescent="0.75">
      <c r="A3" s="1" t="s">
        <v>0</v>
      </c>
      <c r="B3" s="4" t="s">
        <v>36</v>
      </c>
      <c r="F3" s="31" t="s">
        <v>109</v>
      </c>
      <c r="G3" s="31" t="s">
        <v>110</v>
      </c>
    </row>
    <row r="4" spans="1:7" x14ac:dyDescent="0.75">
      <c r="B4" s="3" t="s">
        <v>37</v>
      </c>
      <c r="F4" s="31" t="s">
        <v>111</v>
      </c>
      <c r="G4" s="31" t="s">
        <v>112</v>
      </c>
    </row>
    <row r="5" spans="1:7" x14ac:dyDescent="0.75">
      <c r="B5" s="3">
        <v>2019</v>
      </c>
      <c r="F5" s="31" t="s">
        <v>113</v>
      </c>
      <c r="G5" s="31" t="s">
        <v>114</v>
      </c>
    </row>
    <row r="6" spans="1:7" x14ac:dyDescent="0.75">
      <c r="B6" s="3" t="s">
        <v>38</v>
      </c>
      <c r="F6" s="31" t="s">
        <v>106</v>
      </c>
      <c r="G6" s="31" t="s">
        <v>61</v>
      </c>
    </row>
    <row r="7" spans="1:7" x14ac:dyDescent="0.75">
      <c r="B7" s="14" t="s">
        <v>39</v>
      </c>
      <c r="F7" s="31" t="s">
        <v>115</v>
      </c>
      <c r="G7" s="31" t="s">
        <v>44</v>
      </c>
    </row>
    <row r="8" spans="1:7" x14ac:dyDescent="0.75">
      <c r="F8" s="31" t="s">
        <v>116</v>
      </c>
      <c r="G8" s="31" t="s">
        <v>55</v>
      </c>
    </row>
    <row r="9" spans="1:7" x14ac:dyDescent="0.75">
      <c r="B9" s="4" t="s">
        <v>40</v>
      </c>
      <c r="F9" s="31" t="s">
        <v>117</v>
      </c>
      <c r="G9" s="31" t="s">
        <v>57</v>
      </c>
    </row>
    <row r="10" spans="1:7" x14ac:dyDescent="0.75">
      <c r="B10" s="3" t="s">
        <v>79</v>
      </c>
      <c r="F10" s="31" t="s">
        <v>118</v>
      </c>
      <c r="G10" s="31" t="s">
        <v>119</v>
      </c>
    </row>
    <row r="11" spans="1:7" x14ac:dyDescent="0.75">
      <c r="B11" s="3">
        <v>2022</v>
      </c>
      <c r="F11" s="31" t="s">
        <v>120</v>
      </c>
      <c r="G11" s="31" t="s">
        <v>121</v>
      </c>
    </row>
    <row r="12" spans="1:7" x14ac:dyDescent="0.75">
      <c r="B12" s="3" t="s">
        <v>80</v>
      </c>
      <c r="F12" s="31" t="s">
        <v>122</v>
      </c>
      <c r="G12" s="31" t="s">
        <v>123</v>
      </c>
    </row>
    <row r="13" spans="1:7" x14ac:dyDescent="0.75">
      <c r="F13" s="31" t="s">
        <v>124</v>
      </c>
      <c r="G13" s="31" t="s">
        <v>125</v>
      </c>
    </row>
    <row r="14" spans="1:7" x14ac:dyDescent="0.75">
      <c r="B14" s="4" t="s">
        <v>9</v>
      </c>
      <c r="F14" s="31" t="s">
        <v>126</v>
      </c>
      <c r="G14" s="31" t="s">
        <v>127</v>
      </c>
    </row>
    <row r="15" spans="1:7" x14ac:dyDescent="0.75">
      <c r="B15" s="3" t="s">
        <v>76</v>
      </c>
      <c r="F15" s="31" t="s">
        <v>128</v>
      </c>
      <c r="G15" s="31" t="s">
        <v>129</v>
      </c>
    </row>
    <row r="16" spans="1:7" x14ac:dyDescent="0.75">
      <c r="B16" s="3">
        <v>2021</v>
      </c>
      <c r="F16" s="31" t="s">
        <v>130</v>
      </c>
      <c r="G16" s="31" t="s">
        <v>131</v>
      </c>
    </row>
    <row r="17" spans="1:7" x14ac:dyDescent="0.75">
      <c r="B17" s="3" t="s">
        <v>77</v>
      </c>
      <c r="F17" s="31" t="s">
        <v>132</v>
      </c>
      <c r="G17" s="31" t="s">
        <v>133</v>
      </c>
    </row>
    <row r="18" spans="1:7" x14ac:dyDescent="0.75">
      <c r="B18" s="3" t="s">
        <v>47</v>
      </c>
      <c r="F18" s="31" t="s">
        <v>134</v>
      </c>
      <c r="G18" s="31" t="s">
        <v>135</v>
      </c>
    </row>
    <row r="19" spans="1:7" x14ac:dyDescent="0.75">
      <c r="F19" s="31" t="s">
        <v>136</v>
      </c>
      <c r="G19" s="31" t="s">
        <v>62</v>
      </c>
    </row>
    <row r="20" spans="1:7" x14ac:dyDescent="0.75">
      <c r="B20" s="3" t="s">
        <v>1</v>
      </c>
      <c r="F20" s="31" t="s">
        <v>137</v>
      </c>
      <c r="G20" s="31" t="s">
        <v>63</v>
      </c>
    </row>
    <row r="21" spans="1:7" x14ac:dyDescent="0.75">
      <c r="B21" s="3">
        <v>2022</v>
      </c>
      <c r="F21" s="31" t="s">
        <v>138</v>
      </c>
      <c r="G21" s="31" t="s">
        <v>64</v>
      </c>
    </row>
    <row r="22" spans="1:7" x14ac:dyDescent="0.75">
      <c r="B22" s="3" t="s">
        <v>78</v>
      </c>
      <c r="F22" s="31" t="s">
        <v>139</v>
      </c>
      <c r="G22" s="31" t="s">
        <v>65</v>
      </c>
    </row>
    <row r="23" spans="1:7" x14ac:dyDescent="0.75">
      <c r="B23" s="3" t="s">
        <v>49</v>
      </c>
      <c r="F23" s="31" t="s">
        <v>140</v>
      </c>
      <c r="G23" s="31" t="s">
        <v>141</v>
      </c>
    </row>
    <row r="24" spans="1:7" x14ac:dyDescent="0.75">
      <c r="F24" s="31" t="s">
        <v>142</v>
      </c>
      <c r="G24" s="31" t="s">
        <v>143</v>
      </c>
    </row>
    <row r="25" spans="1:7" x14ac:dyDescent="0.75">
      <c r="F25" s="31" t="s">
        <v>144</v>
      </c>
      <c r="G25" s="31" t="s">
        <v>145</v>
      </c>
    </row>
    <row r="26" spans="1:7" x14ac:dyDescent="0.75">
      <c r="A26" s="1" t="s">
        <v>2</v>
      </c>
      <c r="F26" s="31" t="s">
        <v>146</v>
      </c>
      <c r="G26" s="31" t="s">
        <v>147</v>
      </c>
    </row>
    <row r="27" spans="1:7" x14ac:dyDescent="0.75">
      <c r="A27" t="s">
        <v>22</v>
      </c>
      <c r="F27" s="31" t="s">
        <v>148</v>
      </c>
      <c r="G27" s="31" t="s">
        <v>149</v>
      </c>
    </row>
    <row r="28" spans="1:7" x14ac:dyDescent="0.75">
      <c r="A28" t="s">
        <v>14</v>
      </c>
      <c r="F28" s="31" t="s">
        <v>150</v>
      </c>
      <c r="G28" s="31" t="s">
        <v>151</v>
      </c>
    </row>
    <row r="29" spans="1:7" x14ac:dyDescent="0.75">
      <c r="A29" t="s">
        <v>13</v>
      </c>
      <c r="F29" s="31" t="s">
        <v>152</v>
      </c>
      <c r="G29" s="31" t="s">
        <v>153</v>
      </c>
    </row>
    <row r="30" spans="1:7" x14ac:dyDescent="0.75">
      <c r="F30" s="31" t="s">
        <v>154</v>
      </c>
      <c r="G30" s="31" t="s">
        <v>155</v>
      </c>
    </row>
    <row r="31" spans="1:7" x14ac:dyDescent="0.75">
      <c r="A31" t="s">
        <v>15</v>
      </c>
      <c r="F31" s="31" t="s">
        <v>156</v>
      </c>
      <c r="G31" s="31" t="s">
        <v>66</v>
      </c>
    </row>
    <row r="32" spans="1:7" x14ac:dyDescent="0.75">
      <c r="F32" s="31" t="s">
        <v>157</v>
      </c>
      <c r="G32" s="31" t="s">
        <v>158</v>
      </c>
    </row>
    <row r="33" spans="1:7" ht="59" x14ac:dyDescent="0.75">
      <c r="A33" s="16" t="s">
        <v>43</v>
      </c>
      <c r="B33">
        <v>0.88711067149387013</v>
      </c>
      <c r="F33" s="31" t="s">
        <v>159</v>
      </c>
      <c r="G33" s="31" t="s">
        <v>58</v>
      </c>
    </row>
    <row r="34" spans="1:7" x14ac:dyDescent="0.75">
      <c r="F34" s="31" t="s">
        <v>160</v>
      </c>
      <c r="G34" s="31" t="s">
        <v>161</v>
      </c>
    </row>
    <row r="35" spans="1:7" x14ac:dyDescent="0.75">
      <c r="F35" s="31" t="s">
        <v>162</v>
      </c>
      <c r="G35" s="31" t="s">
        <v>163</v>
      </c>
    </row>
    <row r="36" spans="1:7" x14ac:dyDescent="0.75">
      <c r="F36" s="31" t="s">
        <v>164</v>
      </c>
      <c r="G36" s="31" t="s">
        <v>165</v>
      </c>
    </row>
    <row r="37" spans="1:7" x14ac:dyDescent="0.75">
      <c r="F37" s="31" t="s">
        <v>166</v>
      </c>
      <c r="G37" s="31" t="s">
        <v>167</v>
      </c>
    </row>
    <row r="38" spans="1:7" x14ac:dyDescent="0.75">
      <c r="F38" s="31" t="s">
        <v>168</v>
      </c>
      <c r="G38" s="31" t="s">
        <v>67</v>
      </c>
    </row>
    <row r="39" spans="1:7" x14ac:dyDescent="0.75">
      <c r="F39" s="31" t="s">
        <v>169</v>
      </c>
      <c r="G39" s="31" t="s">
        <v>170</v>
      </c>
    </row>
    <row r="40" spans="1:7" x14ac:dyDescent="0.75">
      <c r="F40" s="31" t="s">
        <v>171</v>
      </c>
      <c r="G40" s="31" t="s">
        <v>172</v>
      </c>
    </row>
    <row r="41" spans="1:7" x14ac:dyDescent="0.75">
      <c r="F41" s="31" t="s">
        <v>173</v>
      </c>
      <c r="G41" s="31" t="s">
        <v>174</v>
      </c>
    </row>
    <row r="42" spans="1:7" x14ac:dyDescent="0.75">
      <c r="F42" s="31" t="s">
        <v>175</v>
      </c>
      <c r="G42" s="31" t="s">
        <v>176</v>
      </c>
    </row>
    <row r="43" spans="1:7" x14ac:dyDescent="0.75">
      <c r="F43" s="31" t="s">
        <v>177</v>
      </c>
      <c r="G43" s="31" t="s">
        <v>178</v>
      </c>
    </row>
    <row r="44" spans="1:7" x14ac:dyDescent="0.75">
      <c r="F44" s="31" t="s">
        <v>179</v>
      </c>
      <c r="G44" s="31" t="s">
        <v>59</v>
      </c>
    </row>
    <row r="45" spans="1:7" x14ac:dyDescent="0.75">
      <c r="F45" s="31" t="s">
        <v>180</v>
      </c>
      <c r="G45" s="31" t="s">
        <v>181</v>
      </c>
    </row>
    <row r="46" spans="1:7" x14ac:dyDescent="0.75">
      <c r="F46" s="31" t="s">
        <v>182</v>
      </c>
      <c r="G46" s="31" t="s">
        <v>68</v>
      </c>
    </row>
    <row r="47" spans="1:7" x14ac:dyDescent="0.75">
      <c r="F47" s="31" t="s">
        <v>183</v>
      </c>
      <c r="G47" s="31" t="s">
        <v>184</v>
      </c>
    </row>
    <row r="48" spans="1:7" x14ac:dyDescent="0.75">
      <c r="F48" s="31" t="s">
        <v>185</v>
      </c>
      <c r="G48" s="31" t="s">
        <v>186</v>
      </c>
    </row>
    <row r="49" spans="6:7" x14ac:dyDescent="0.75">
      <c r="F49" s="31" t="s">
        <v>187</v>
      </c>
      <c r="G49" s="31" t="s">
        <v>188</v>
      </c>
    </row>
    <row r="50" spans="6:7" x14ac:dyDescent="0.75">
      <c r="F50" s="31" t="s">
        <v>189</v>
      </c>
      <c r="G50" s="31" t="s">
        <v>190</v>
      </c>
    </row>
    <row r="51" spans="6:7" x14ac:dyDescent="0.75">
      <c r="F51" s="31" t="s">
        <v>191</v>
      </c>
      <c r="G51" s="31" t="s">
        <v>192</v>
      </c>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opLeftCell="A16" workbookViewId="0">
      <selection activeCell="C38" sqref="C38"/>
    </sheetView>
  </sheetViews>
  <sheetFormatPr defaultRowHeight="14.75" x14ac:dyDescent="0.75"/>
  <cols>
    <col min="1" max="1" width="45.40625" customWidth="1"/>
    <col min="2" max="2" width="15.7265625" customWidth="1"/>
    <col min="3" max="3" width="19.1328125" customWidth="1"/>
  </cols>
  <sheetData>
    <row r="1" spans="1:31" x14ac:dyDescent="0.75">
      <c r="A1" s="1" t="s">
        <v>4</v>
      </c>
    </row>
    <row r="2" spans="1:31" x14ac:dyDescent="0.7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7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75">
      <c r="A4" s="2"/>
    </row>
    <row r="5" spans="1:31" x14ac:dyDescent="0.75">
      <c r="A5" s="5" t="s">
        <v>3</v>
      </c>
    </row>
    <row r="6" spans="1:31" x14ac:dyDescent="0.75">
      <c r="A6" s="2" t="s">
        <v>5</v>
      </c>
    </row>
    <row r="7" spans="1:31" x14ac:dyDescent="0.75">
      <c r="A7" s="2" t="s">
        <v>7</v>
      </c>
    </row>
    <row r="8" spans="1:31" x14ac:dyDescent="0.75">
      <c r="A8" s="18" t="s">
        <v>45</v>
      </c>
      <c r="B8" s="18"/>
    </row>
    <row r="9" spans="1:31" x14ac:dyDescent="0.75">
      <c r="A9" s="17" t="s">
        <v>46</v>
      </c>
      <c r="B9" s="17"/>
      <c r="C9" s="19" t="s">
        <v>47</v>
      </c>
    </row>
    <row r="10" spans="1:31" x14ac:dyDescent="0.75">
      <c r="A10" s="17" t="s">
        <v>48</v>
      </c>
      <c r="B10" s="17"/>
      <c r="C10" s="19" t="s">
        <v>49</v>
      </c>
    </row>
    <row r="11" spans="1:31" x14ac:dyDescent="0.75">
      <c r="A11" s="17" t="s">
        <v>50</v>
      </c>
      <c r="B11" s="17"/>
    </row>
    <row r="12" spans="1:31" x14ac:dyDescent="0.7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75">
      <c r="A13" s="17" t="s">
        <v>44</v>
      </c>
      <c r="B13" s="17">
        <v>0</v>
      </c>
      <c r="C13" s="17" t="s">
        <v>53</v>
      </c>
      <c r="D13" s="17">
        <v>2500</v>
      </c>
      <c r="E13" s="17">
        <v>2500</v>
      </c>
      <c r="F13" s="17">
        <v>2500</v>
      </c>
      <c r="G13" s="17">
        <v>2000</v>
      </c>
      <c r="H13" s="17">
        <v>2000</v>
      </c>
      <c r="I13" s="17">
        <v>2000</v>
      </c>
      <c r="J13" s="17">
        <v>2000</v>
      </c>
      <c r="K13" s="18" t="s">
        <v>54</v>
      </c>
    </row>
    <row r="14" spans="1:31" x14ac:dyDescent="0.75">
      <c r="A14" s="17" t="s">
        <v>55</v>
      </c>
      <c r="B14" s="17">
        <v>0</v>
      </c>
      <c r="C14" s="17" t="s">
        <v>53</v>
      </c>
      <c r="D14" s="17">
        <v>2250</v>
      </c>
      <c r="E14" s="17">
        <v>2250</v>
      </c>
      <c r="F14" s="17">
        <v>2250</v>
      </c>
      <c r="G14" s="17">
        <v>2250</v>
      </c>
      <c r="H14" s="17">
        <v>2250</v>
      </c>
      <c r="I14" s="17">
        <v>2250</v>
      </c>
      <c r="J14" s="17">
        <v>2250</v>
      </c>
      <c r="K14" s="17"/>
      <c r="R14" s="19" t="s">
        <v>56</v>
      </c>
    </row>
    <row r="15" spans="1:31" x14ac:dyDescent="0.75">
      <c r="A15" s="17" t="s">
        <v>57</v>
      </c>
      <c r="B15" s="17">
        <v>0</v>
      </c>
      <c r="C15" s="17" t="s">
        <v>53</v>
      </c>
      <c r="D15" s="17">
        <v>1000</v>
      </c>
      <c r="E15" s="17">
        <v>1000</v>
      </c>
      <c r="F15" s="17">
        <v>1000</v>
      </c>
      <c r="G15" s="17">
        <v>1000</v>
      </c>
      <c r="H15" s="17">
        <v>1000</v>
      </c>
      <c r="I15" s="17">
        <v>1000</v>
      </c>
      <c r="J15" s="17">
        <v>1000</v>
      </c>
    </row>
    <row r="16" spans="1:31" ht="15.75" customHeight="1" x14ac:dyDescent="0.75">
      <c r="A16" s="17" t="s">
        <v>58</v>
      </c>
      <c r="B16" s="17">
        <v>1</v>
      </c>
      <c r="C16" s="20" t="s">
        <v>53</v>
      </c>
      <c r="D16" s="21">
        <v>500</v>
      </c>
      <c r="E16" s="21">
        <v>500</v>
      </c>
      <c r="F16" s="21">
        <v>500</v>
      </c>
      <c r="G16" s="21">
        <v>500</v>
      </c>
      <c r="H16" s="21">
        <v>500</v>
      </c>
      <c r="I16" s="21">
        <v>500</v>
      </c>
      <c r="J16" s="21">
        <v>500</v>
      </c>
      <c r="K16" s="20" t="s">
        <v>105</v>
      </c>
      <c r="L16" s="20"/>
      <c r="M16" s="22"/>
    </row>
    <row r="17" spans="1:33" ht="15.75" customHeight="1" x14ac:dyDescent="0.75">
      <c r="A17" s="17" t="s">
        <v>59</v>
      </c>
      <c r="B17" s="17">
        <v>0</v>
      </c>
      <c r="C17" s="17" t="s">
        <v>53</v>
      </c>
      <c r="D17" s="17">
        <v>2500</v>
      </c>
      <c r="E17" s="17">
        <v>2500</v>
      </c>
      <c r="F17" s="17">
        <v>2500</v>
      </c>
      <c r="G17" s="17">
        <v>0</v>
      </c>
      <c r="H17" s="17">
        <v>0</v>
      </c>
      <c r="I17" s="17">
        <v>0</v>
      </c>
      <c r="J17" s="17">
        <v>0</v>
      </c>
      <c r="K17" s="17" t="s">
        <v>60</v>
      </c>
      <c r="R17" s="23"/>
    </row>
    <row r="18" spans="1:33" ht="15.75" customHeight="1" x14ac:dyDescent="0.75">
      <c r="A18" s="17" t="s">
        <v>61</v>
      </c>
      <c r="B18" s="17">
        <v>0</v>
      </c>
      <c r="C18" s="17" t="s">
        <v>53</v>
      </c>
      <c r="D18" s="17">
        <v>1000</v>
      </c>
      <c r="E18" s="17">
        <v>1000</v>
      </c>
      <c r="F18" s="17">
        <v>1000</v>
      </c>
      <c r="G18" s="17">
        <v>1000</v>
      </c>
      <c r="H18" s="17">
        <v>1000</v>
      </c>
      <c r="I18" s="17">
        <v>1000</v>
      </c>
      <c r="J18" s="17">
        <v>1000</v>
      </c>
    </row>
    <row r="19" spans="1:33" ht="15.75" customHeight="1" x14ac:dyDescent="0.75">
      <c r="A19" s="17" t="s">
        <v>62</v>
      </c>
      <c r="B19" s="17">
        <v>0</v>
      </c>
      <c r="C19" s="17" t="s">
        <v>53</v>
      </c>
      <c r="D19" s="24">
        <v>1500</v>
      </c>
      <c r="E19" s="24">
        <v>1500</v>
      </c>
      <c r="F19" s="24">
        <v>1500</v>
      </c>
      <c r="G19" s="24">
        <v>1500</v>
      </c>
      <c r="H19" s="24">
        <v>1500</v>
      </c>
      <c r="I19" s="24">
        <v>1500</v>
      </c>
      <c r="J19" s="24">
        <v>1500</v>
      </c>
    </row>
    <row r="20" spans="1:33" ht="15.75" customHeight="1" x14ac:dyDescent="0.75">
      <c r="A20" s="17" t="s">
        <v>63</v>
      </c>
      <c r="B20" s="17">
        <v>0</v>
      </c>
      <c r="C20" s="17" t="s">
        <v>53</v>
      </c>
      <c r="D20" s="17">
        <v>2000</v>
      </c>
      <c r="E20" s="17">
        <v>2000</v>
      </c>
      <c r="F20" s="17">
        <v>2000</v>
      </c>
      <c r="G20" s="17">
        <v>2000</v>
      </c>
      <c r="H20" s="17">
        <v>2000</v>
      </c>
      <c r="I20" s="17">
        <v>2000</v>
      </c>
      <c r="J20" s="17">
        <v>2000</v>
      </c>
    </row>
    <row r="21" spans="1:33" ht="15.75" customHeight="1" x14ac:dyDescent="0.75">
      <c r="A21" s="17" t="s">
        <v>64</v>
      </c>
      <c r="B21" s="17">
        <v>0</v>
      </c>
      <c r="C21" s="17" t="s">
        <v>53</v>
      </c>
      <c r="D21" s="17">
        <v>0</v>
      </c>
      <c r="E21" s="17">
        <v>0</v>
      </c>
      <c r="F21" s="17">
        <v>0</v>
      </c>
      <c r="G21" s="17">
        <v>0</v>
      </c>
      <c r="H21" s="17">
        <v>0</v>
      </c>
      <c r="I21" s="17">
        <v>0</v>
      </c>
      <c r="J21" s="17">
        <v>0</v>
      </c>
    </row>
    <row r="22" spans="1:33" ht="15.75" customHeight="1" x14ac:dyDescent="0.75">
      <c r="A22" s="17" t="s">
        <v>65</v>
      </c>
      <c r="B22" s="17">
        <v>0</v>
      </c>
      <c r="C22" s="17" t="s">
        <v>53</v>
      </c>
      <c r="D22" s="17">
        <v>1500</v>
      </c>
      <c r="E22" s="17">
        <v>1500</v>
      </c>
      <c r="F22" s="17">
        <v>1500</v>
      </c>
      <c r="G22" s="17">
        <v>1500</v>
      </c>
      <c r="H22" s="17">
        <v>1500</v>
      </c>
      <c r="I22" s="17">
        <v>1500</v>
      </c>
      <c r="J22" s="17">
        <v>1500</v>
      </c>
    </row>
    <row r="23" spans="1:33" ht="15.75" customHeight="1" x14ac:dyDescent="0.75">
      <c r="A23" s="17" t="s">
        <v>66</v>
      </c>
      <c r="B23" s="17">
        <v>0</v>
      </c>
      <c r="C23" s="17" t="s">
        <v>53</v>
      </c>
      <c r="D23" s="17">
        <v>4000</v>
      </c>
      <c r="E23" s="17">
        <v>4000</v>
      </c>
      <c r="F23" s="17">
        <v>4000</v>
      </c>
      <c r="G23" s="17">
        <v>4000</v>
      </c>
      <c r="H23" s="17">
        <v>4000</v>
      </c>
      <c r="I23" s="17">
        <v>4000</v>
      </c>
      <c r="J23" s="17">
        <v>4000</v>
      </c>
    </row>
    <row r="24" spans="1:33" ht="15.75" customHeight="1" x14ac:dyDescent="0.75">
      <c r="A24" s="17" t="s">
        <v>67</v>
      </c>
      <c r="B24" s="17">
        <v>0</v>
      </c>
      <c r="C24" s="17" t="s">
        <v>53</v>
      </c>
      <c r="D24" s="17">
        <v>1500</v>
      </c>
      <c r="E24" s="17">
        <v>1500</v>
      </c>
      <c r="F24" s="17">
        <v>1500</v>
      </c>
      <c r="G24" s="17">
        <v>1500</v>
      </c>
      <c r="H24" s="17">
        <v>1500</v>
      </c>
      <c r="I24" s="17">
        <v>1500</v>
      </c>
      <c r="J24" s="17">
        <v>1500</v>
      </c>
    </row>
    <row r="25" spans="1:33" ht="15.75" customHeight="1" x14ac:dyDescent="0.75">
      <c r="A25" s="17" t="s">
        <v>68</v>
      </c>
      <c r="B25" s="17">
        <v>0</v>
      </c>
      <c r="C25" s="17" t="s">
        <v>53</v>
      </c>
      <c r="D25" s="17">
        <v>3000</v>
      </c>
      <c r="E25" s="17">
        <v>3000</v>
      </c>
      <c r="F25" s="17">
        <v>3000</v>
      </c>
      <c r="G25" s="17">
        <v>3000</v>
      </c>
      <c r="H25" s="17">
        <v>3000</v>
      </c>
      <c r="I25" s="17">
        <v>3000</v>
      </c>
      <c r="J25" s="17">
        <v>3000</v>
      </c>
      <c r="K25" s="17" t="s">
        <v>69</v>
      </c>
    </row>
    <row r="26" spans="1:33" ht="15.75" customHeight="1" x14ac:dyDescent="0.75">
      <c r="A26" s="17" t="s">
        <v>71</v>
      </c>
      <c r="B26" s="17">
        <v>0</v>
      </c>
      <c r="C26" s="17"/>
      <c r="D26" s="17">
        <v>0</v>
      </c>
      <c r="E26" s="17">
        <v>0</v>
      </c>
      <c r="F26" s="17">
        <v>0</v>
      </c>
      <c r="G26" s="17">
        <v>0</v>
      </c>
      <c r="H26" s="17">
        <v>0</v>
      </c>
      <c r="I26" s="17">
        <v>0</v>
      </c>
      <c r="J26" s="17">
        <v>0</v>
      </c>
      <c r="K26" s="17"/>
    </row>
    <row r="27" spans="1:33" ht="15.75" customHeight="1" x14ac:dyDescent="0.75">
      <c r="A27" s="17" t="s">
        <v>70</v>
      </c>
      <c r="B27" s="17">
        <v>0</v>
      </c>
    </row>
    <row r="28" spans="1:33" ht="15.75" customHeight="1" x14ac:dyDescent="0.75">
      <c r="A28" s="17"/>
      <c r="B28" s="17"/>
      <c r="C28" s="17"/>
      <c r="D28" s="17"/>
      <c r="E28" s="17"/>
      <c r="F28" s="17"/>
      <c r="G28" s="17"/>
      <c r="H28" s="17"/>
      <c r="I28" s="17"/>
      <c r="J28" s="18"/>
    </row>
    <row r="29" spans="1:33" x14ac:dyDescent="0.75">
      <c r="A29" s="6" t="s">
        <v>6</v>
      </c>
    </row>
    <row r="30" spans="1:33" x14ac:dyDescent="0.75">
      <c r="A30" s="2"/>
    </row>
    <row r="31" spans="1:33" x14ac:dyDescent="0.75">
      <c r="A31" s="2" t="s">
        <v>10</v>
      </c>
      <c r="B31" t="str">
        <f>About!B2</f>
        <v>NY</v>
      </c>
    </row>
    <row r="32" spans="1:33" x14ac:dyDescent="0.7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75">
      <c r="C33" s="2">
        <f>SUMIFS(D$13:D$26,$A$13:$A$26,$B$31)</f>
        <v>500</v>
      </c>
      <c r="D33" s="2">
        <f t="shared" ref="D33:I33" si="1">SUMIFS(E$13:E$26,$A$13:$A$26,$B$31)</f>
        <v>500</v>
      </c>
      <c r="E33" s="2">
        <f t="shared" si="1"/>
        <v>500</v>
      </c>
      <c r="F33" s="2">
        <f t="shared" si="1"/>
        <v>500</v>
      </c>
      <c r="G33" s="2">
        <f t="shared" si="1"/>
        <v>500</v>
      </c>
      <c r="H33" s="2">
        <f t="shared" si="1"/>
        <v>500</v>
      </c>
      <c r="I33" s="2">
        <f t="shared" si="1"/>
        <v>500</v>
      </c>
      <c r="J33" s="2">
        <v>0</v>
      </c>
      <c r="K33" s="2">
        <f t="shared" ref="K33:AG33" si="2">J33</f>
        <v>0</v>
      </c>
      <c r="L33" s="2">
        <f t="shared" si="2"/>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75">
      <c r="A34" t="s">
        <v>103</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75">
      <c r="A35" s="2"/>
    </row>
    <row r="36" spans="1:33" x14ac:dyDescent="0.75">
      <c r="A36" s="2" t="s">
        <v>95</v>
      </c>
    </row>
    <row r="37" spans="1:33" x14ac:dyDescent="0.7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75">
      <c r="B38" s="2"/>
      <c r="C38" s="2">
        <f>(A3+C33)*About!$B$33</f>
        <v>7089.0804836407387</v>
      </c>
      <c r="D38" s="2">
        <f>(B3+D33)*About!$B$33</f>
        <v>7096.2738526461635</v>
      </c>
      <c r="E38" s="2">
        <f>(C3+E33)*About!$B$33</f>
        <v>4060.6060287258383</v>
      </c>
      <c r="F38" s="2">
        <f>(D3+F33)*About!$B$33</f>
        <v>1866.417433175201</v>
      </c>
      <c r="G38" s="2">
        <f>(E3+G33)*About!$B$33</f>
        <v>1282.0199650437494</v>
      </c>
      <c r="H38" s="2">
        <f>(F3+H33)*About!$B$33</f>
        <v>864.64370703529585</v>
      </c>
      <c r="I38" s="2">
        <f>(G3+I33)*About!$B$33</f>
        <v>744.07885409868288</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7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75">
      <c r="A41" t="s">
        <v>104</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75">
      <c r="A43" t="s">
        <v>12</v>
      </c>
    </row>
    <row r="44" spans="1:33" x14ac:dyDescent="0.7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75">
      <c r="A45" s="7"/>
      <c r="B45" s="7"/>
      <c r="C45" s="7">
        <f>C38/B41</f>
        <v>0.19218891947190639</v>
      </c>
      <c r="D45" s="7">
        <f t="shared" ref="D45:AG45" si="3">D38/C41</f>
        <v>0.19006009729346662</v>
      </c>
      <c r="E45" s="7">
        <f t="shared" si="3"/>
        <v>0.10877885902986521</v>
      </c>
      <c r="F45" s="7">
        <f t="shared" si="3"/>
        <v>4.976715017932435E-2</v>
      </c>
      <c r="G45" s="7">
        <f t="shared" si="3"/>
        <v>3.4168975614172425E-2</v>
      </c>
      <c r="H45" s="7">
        <f t="shared" si="3"/>
        <v>2.2975067944818406E-2</v>
      </c>
      <c r="I45" s="7">
        <f t="shared" si="3"/>
        <v>1.9751509187159771E-2</v>
      </c>
      <c r="J45" s="7">
        <f t="shared" si="3"/>
        <v>7.972080493189055E-3</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7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75" x14ac:dyDescent="0.75"/>
  <cols>
    <col min="1" max="1" width="51.86328125" customWidth="1"/>
    <col min="2" max="2" width="31" customWidth="1"/>
    <col min="3" max="3" width="36.40625" customWidth="1"/>
    <col min="4" max="4" width="10.7265625" customWidth="1"/>
    <col min="5" max="5" width="14.40625" customWidth="1"/>
    <col min="6" max="6" width="11.86328125" customWidth="1"/>
    <col min="7" max="7" width="13.1328125" customWidth="1"/>
    <col min="8" max="8" width="11" customWidth="1"/>
    <col min="9" max="9" width="10.7265625" customWidth="1"/>
    <col min="10" max="10" width="11.86328125" customWidth="1"/>
  </cols>
  <sheetData>
    <row r="1" spans="1:35" x14ac:dyDescent="0.75">
      <c r="D1" t="s">
        <v>23</v>
      </c>
    </row>
    <row r="2" spans="1:35" x14ac:dyDescent="0.7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7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75">
      <c r="A4" t="s">
        <v>81</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7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7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7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75">
      <c r="A8" t="s">
        <v>82</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75">
      <c r="A9" t="s">
        <v>83</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7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7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7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7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75">
      <c r="A14" t="s">
        <v>84</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7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75">
      <c r="A16" t="s">
        <v>85</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75">
      <c r="A17" t="s">
        <v>86</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7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75">
      <c r="A19" t="s">
        <v>87</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75">
      <c r="A20" t="s">
        <v>88</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7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75">
      <c r="A22" t="s">
        <v>73</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75">
      <c r="A23" t="s">
        <v>74</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75">
      <c r="A24" t="s">
        <v>72</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7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75">
      <c r="A26" s="25" t="s">
        <v>75</v>
      </c>
    </row>
    <row r="27" spans="1:35" x14ac:dyDescent="0.7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7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7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75">
      <c r="A31" s="1" t="s">
        <v>99</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7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75">
      <c r="A33" t="s">
        <v>81</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7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7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7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75">
      <c r="A37" t="s">
        <v>82</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75">
      <c r="A38" t="s">
        <v>83</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7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7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7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7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75">
      <c r="A43" t="s">
        <v>84</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7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75">
      <c r="A45" t="s">
        <v>85</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75">
      <c r="A46" t="s">
        <v>86</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7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75">
      <c r="A48" t="s">
        <v>87</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75">
      <c r="A49" t="s">
        <v>88</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7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75">
      <c r="A51" t="s">
        <v>73</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75">
      <c r="A52" t="s">
        <v>74</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75">
      <c r="A53" t="s">
        <v>72</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7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75">
      <c r="A55" s="1" t="s">
        <v>100</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7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75">
      <c r="A57" t="s">
        <v>81</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7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7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7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75">
      <c r="A61" t="s">
        <v>82</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75">
      <c r="A62" t="s">
        <v>83</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7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7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7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7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75">
      <c r="A67" t="s">
        <v>84</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7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75">
      <c r="A69" t="s">
        <v>85</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75">
      <c r="A70" t="s">
        <v>86</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7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75">
      <c r="A72" t="s">
        <v>87</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75">
      <c r="A73" t="s">
        <v>88</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7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75">
      <c r="A75" t="s">
        <v>73</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75">
      <c r="A76" t="s">
        <v>74</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75">
      <c r="A77" t="s">
        <v>72</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75">
      <c r="A79" s="1" t="s">
        <v>102</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7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75">
      <c r="A81" t="s">
        <v>81</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7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7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7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75">
      <c r="A85" t="s">
        <v>82</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75">
      <c r="A86" t="s">
        <v>83</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7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7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7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7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75">
      <c r="A91" t="s">
        <v>84</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7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75">
      <c r="A93" t="s">
        <v>85</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75">
      <c r="A94" t="s">
        <v>86</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7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75">
      <c r="A96" t="s">
        <v>87</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75">
      <c r="A97" t="s">
        <v>88</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7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75">
      <c r="A99" t="s">
        <v>73</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75">
      <c r="A100" t="s">
        <v>74</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75">
      <c r="A101" t="s">
        <v>72</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7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7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75" x14ac:dyDescent="0.75"/>
  <cols>
    <col min="1" max="1" width="21.1328125" customWidth="1"/>
    <col min="16" max="16" width="13.26953125" customWidth="1"/>
  </cols>
  <sheetData>
    <row r="1" spans="1:17" x14ac:dyDescent="0.75">
      <c r="A1" t="s">
        <v>89</v>
      </c>
    </row>
    <row r="2" spans="1:17" x14ac:dyDescent="0.75">
      <c r="A2" s="1" t="s">
        <v>93</v>
      </c>
    </row>
    <row r="3" spans="1:17" ht="29.5" x14ac:dyDescent="0.75">
      <c r="A3" s="25" t="s">
        <v>90</v>
      </c>
      <c r="B3" s="26">
        <v>2011</v>
      </c>
      <c r="C3" s="26">
        <v>2012</v>
      </c>
      <c r="D3" s="26">
        <v>2013</v>
      </c>
      <c r="E3" s="26">
        <v>2014</v>
      </c>
      <c r="F3" s="26">
        <v>2015</v>
      </c>
      <c r="G3" s="26">
        <v>2016</v>
      </c>
      <c r="H3" s="26">
        <v>2017</v>
      </c>
      <c r="I3" s="26">
        <v>2018</v>
      </c>
      <c r="J3" s="26">
        <v>2019</v>
      </c>
      <c r="K3" s="26">
        <v>2020</v>
      </c>
      <c r="L3" s="26">
        <v>2021</v>
      </c>
      <c r="M3" s="26" t="s">
        <v>91</v>
      </c>
      <c r="N3" s="26"/>
      <c r="O3" s="26" t="s">
        <v>92</v>
      </c>
      <c r="P3" s="27" t="s">
        <v>94</v>
      </c>
      <c r="Q3" s="1"/>
    </row>
    <row r="4" spans="1:17" x14ac:dyDescent="0.7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75">
      <c r="A5" t="s">
        <v>81</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7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7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7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75">
      <c r="A9" t="s">
        <v>82</v>
      </c>
      <c r="C9">
        <v>673</v>
      </c>
      <c r="D9">
        <v>0</v>
      </c>
      <c r="E9">
        <v>6647</v>
      </c>
      <c r="F9">
        <v>14181</v>
      </c>
      <c r="G9">
        <v>16117</v>
      </c>
      <c r="H9">
        <v>21195</v>
      </c>
      <c r="I9">
        <v>26092</v>
      </c>
      <c r="J9">
        <v>14067</v>
      </c>
      <c r="K9">
        <v>10639</v>
      </c>
      <c r="L9">
        <v>23064</v>
      </c>
      <c r="M9">
        <v>7611</v>
      </c>
      <c r="O9">
        <v>140286</v>
      </c>
      <c r="P9" s="7">
        <f t="shared" si="0"/>
        <v>3.6405767087696481E-2</v>
      </c>
    </row>
    <row r="10" spans="1:17" x14ac:dyDescent="0.75">
      <c r="A10" t="s">
        <v>83</v>
      </c>
      <c r="D10">
        <v>260</v>
      </c>
      <c r="E10">
        <v>1503</v>
      </c>
      <c r="F10">
        <v>3477</v>
      </c>
      <c r="G10">
        <v>3737</v>
      </c>
      <c r="H10">
        <v>6317</v>
      </c>
      <c r="I10">
        <v>9897</v>
      </c>
      <c r="J10">
        <v>6850</v>
      </c>
      <c r="K10">
        <v>5666</v>
      </c>
      <c r="L10">
        <v>48723</v>
      </c>
      <c r="M10">
        <v>30098</v>
      </c>
      <c r="O10">
        <v>116528</v>
      </c>
      <c r="P10" s="7">
        <f t="shared" si="0"/>
        <v>7.6907656512913439E-2</v>
      </c>
    </row>
    <row r="11" spans="1:17" x14ac:dyDescent="0.7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75">
      <c r="A12" t="s">
        <v>25</v>
      </c>
      <c r="G12">
        <v>4280</v>
      </c>
      <c r="H12">
        <v>2877</v>
      </c>
      <c r="I12">
        <v>2391</v>
      </c>
      <c r="J12">
        <v>5410</v>
      </c>
      <c r="K12">
        <v>11670</v>
      </c>
      <c r="L12">
        <v>20019</v>
      </c>
      <c r="M12">
        <v>9704</v>
      </c>
      <c r="O12">
        <v>56351</v>
      </c>
      <c r="P12" s="7">
        <f t="shared" si="0"/>
        <v>3.159933451823603E-2</v>
      </c>
    </row>
    <row r="13" spans="1:17" x14ac:dyDescent="0.75">
      <c r="A13" t="s">
        <v>27</v>
      </c>
      <c r="F13">
        <v>15</v>
      </c>
      <c r="G13">
        <v>3000</v>
      </c>
      <c r="H13">
        <v>2686</v>
      </c>
      <c r="I13">
        <v>2684</v>
      </c>
      <c r="J13">
        <v>8045</v>
      </c>
      <c r="K13">
        <v>8793</v>
      </c>
      <c r="L13">
        <v>17013</v>
      </c>
      <c r="M13">
        <v>17215</v>
      </c>
      <c r="O13">
        <v>59451</v>
      </c>
      <c r="P13" s="7">
        <f t="shared" si="0"/>
        <v>2.6854462168877047E-2</v>
      </c>
    </row>
    <row r="14" spans="1:17" x14ac:dyDescent="0.75">
      <c r="A14" t="s">
        <v>28</v>
      </c>
      <c r="E14">
        <v>359</v>
      </c>
      <c r="F14">
        <v>1015</v>
      </c>
      <c r="G14">
        <v>1728</v>
      </c>
      <c r="H14">
        <v>3669</v>
      </c>
      <c r="I14">
        <v>5670</v>
      </c>
      <c r="J14">
        <v>6769</v>
      </c>
      <c r="K14">
        <v>5302</v>
      </c>
      <c r="L14">
        <v>14617</v>
      </c>
      <c r="M14">
        <v>19481</v>
      </c>
      <c r="O14">
        <v>58610</v>
      </c>
      <c r="P14" s="7">
        <f t="shared" si="0"/>
        <v>2.3072454800592241E-2</v>
      </c>
    </row>
    <row r="15" spans="1:17" x14ac:dyDescent="0.75">
      <c r="A15" t="s">
        <v>84</v>
      </c>
      <c r="F15">
        <v>86</v>
      </c>
      <c r="G15">
        <v>2015</v>
      </c>
      <c r="H15">
        <v>2826</v>
      </c>
      <c r="I15">
        <v>3818</v>
      </c>
      <c r="J15">
        <v>3683</v>
      </c>
      <c r="K15">
        <v>7241</v>
      </c>
      <c r="L15">
        <v>25469</v>
      </c>
      <c r="M15">
        <v>13813</v>
      </c>
      <c r="O15">
        <v>58951</v>
      </c>
      <c r="P15" s="7">
        <f t="shared" si="0"/>
        <v>4.0201980660620085E-2</v>
      </c>
    </row>
    <row r="16" spans="1:17" x14ac:dyDescent="0.75">
      <c r="A16" t="s">
        <v>30</v>
      </c>
      <c r="D16">
        <v>51</v>
      </c>
      <c r="E16">
        <v>991</v>
      </c>
      <c r="F16">
        <v>1570</v>
      </c>
      <c r="G16">
        <v>2504</v>
      </c>
      <c r="H16">
        <v>1592</v>
      </c>
      <c r="I16">
        <v>2152</v>
      </c>
      <c r="J16">
        <v>2705</v>
      </c>
      <c r="K16">
        <v>6935</v>
      </c>
      <c r="L16">
        <v>11931</v>
      </c>
      <c r="M16">
        <v>4760</v>
      </c>
      <c r="O16">
        <v>35191</v>
      </c>
      <c r="P16" s="7">
        <f t="shared" si="0"/>
        <v>1.8832691949501677E-2</v>
      </c>
    </row>
    <row r="17" spans="1:17" x14ac:dyDescent="0.75">
      <c r="A17" t="s">
        <v>85</v>
      </c>
      <c r="E17">
        <v>357</v>
      </c>
      <c r="F17">
        <v>4232</v>
      </c>
      <c r="G17">
        <v>3937</v>
      </c>
      <c r="H17">
        <v>3534</v>
      </c>
      <c r="I17">
        <v>1354</v>
      </c>
      <c r="J17">
        <v>4863</v>
      </c>
      <c r="K17">
        <v>767</v>
      </c>
      <c r="L17">
        <v>16775</v>
      </c>
      <c r="M17">
        <v>3820</v>
      </c>
      <c r="O17">
        <v>39639</v>
      </c>
      <c r="P17" s="7">
        <f t="shared" si="0"/>
        <v>2.6478786979539908E-2</v>
      </c>
    </row>
    <row r="18" spans="1:17" x14ac:dyDescent="0.75">
      <c r="A18" t="s">
        <v>86</v>
      </c>
      <c r="E18">
        <v>774</v>
      </c>
      <c r="F18">
        <v>2024</v>
      </c>
      <c r="G18">
        <v>1584</v>
      </c>
      <c r="H18">
        <v>2690</v>
      </c>
      <c r="I18">
        <v>2336</v>
      </c>
      <c r="J18">
        <v>5389</v>
      </c>
      <c r="K18">
        <v>1236</v>
      </c>
      <c r="L18">
        <v>507</v>
      </c>
      <c r="M18">
        <v>3280</v>
      </c>
      <c r="O18">
        <v>19820</v>
      </c>
      <c r="P18" s="7">
        <f t="shared" si="0"/>
        <v>8.0028286131903035E-4</v>
      </c>
    </row>
    <row r="19" spans="1:17" x14ac:dyDescent="0.7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75">
      <c r="A20" t="s">
        <v>87</v>
      </c>
      <c r="B20">
        <v>342</v>
      </c>
      <c r="C20">
        <v>139</v>
      </c>
      <c r="D20">
        <v>923</v>
      </c>
      <c r="E20">
        <v>2594</v>
      </c>
      <c r="F20">
        <v>1387</v>
      </c>
      <c r="G20">
        <v>657</v>
      </c>
      <c r="H20">
        <v>544</v>
      </c>
      <c r="I20">
        <v>1198</v>
      </c>
      <c r="J20">
        <v>680</v>
      </c>
      <c r="K20">
        <v>0</v>
      </c>
      <c r="L20">
        <v>0</v>
      </c>
      <c r="M20">
        <v>0</v>
      </c>
      <c r="O20">
        <v>8464</v>
      </c>
      <c r="P20" s="7">
        <f t="shared" si="0"/>
        <v>0</v>
      </c>
    </row>
    <row r="21" spans="1:17" x14ac:dyDescent="0.75">
      <c r="A21" t="s">
        <v>88</v>
      </c>
      <c r="I21">
        <v>393</v>
      </c>
      <c r="J21">
        <v>3002</v>
      </c>
      <c r="K21">
        <v>3129</v>
      </c>
      <c r="L21">
        <v>1665</v>
      </c>
      <c r="M21">
        <v>251</v>
      </c>
      <c r="O21">
        <v>8440</v>
      </c>
      <c r="P21" s="7">
        <f t="shared" si="0"/>
        <v>2.6281478581778807E-3</v>
      </c>
    </row>
    <row r="22" spans="1:17" x14ac:dyDescent="0.75">
      <c r="A22" t="s">
        <v>32</v>
      </c>
      <c r="I22">
        <v>0</v>
      </c>
      <c r="J22">
        <v>2591</v>
      </c>
      <c r="K22">
        <v>2514</v>
      </c>
      <c r="L22">
        <v>2618</v>
      </c>
      <c r="M22">
        <v>947</v>
      </c>
      <c r="O22">
        <v>8670</v>
      </c>
      <c r="P22" s="7">
        <f t="shared" si="0"/>
        <v>4.1324270827085233E-3</v>
      </c>
    </row>
    <row r="23" spans="1:17" x14ac:dyDescent="0.75">
      <c r="A23" t="s">
        <v>73</v>
      </c>
      <c r="L23">
        <v>376</v>
      </c>
      <c r="M23">
        <v>3551</v>
      </c>
      <c r="O23">
        <v>3927</v>
      </c>
      <c r="P23" s="7">
        <f t="shared" si="0"/>
        <v>5.9350366046539526E-4</v>
      </c>
    </row>
    <row r="24" spans="1:17" x14ac:dyDescent="0.75">
      <c r="A24" t="s">
        <v>74</v>
      </c>
      <c r="L24">
        <v>65</v>
      </c>
      <c r="M24">
        <v>600</v>
      </c>
      <c r="O24">
        <v>665</v>
      </c>
      <c r="P24" s="7">
        <f t="shared" si="0"/>
        <v>1.0260036683577312E-4</v>
      </c>
    </row>
    <row r="25" spans="1:17" x14ac:dyDescent="0.75">
      <c r="A25" t="s">
        <v>72</v>
      </c>
      <c r="L25">
        <v>116</v>
      </c>
      <c r="M25">
        <v>293</v>
      </c>
      <c r="O25">
        <v>409</v>
      </c>
      <c r="P25" s="7">
        <f t="shared" si="0"/>
        <v>1.831021931223028E-4</v>
      </c>
    </row>
    <row r="27" spans="1:17" x14ac:dyDescent="0.75">
      <c r="A27" t="s">
        <v>92</v>
      </c>
      <c r="B27">
        <v>17763</v>
      </c>
      <c r="C27">
        <v>53171</v>
      </c>
      <c r="D27">
        <v>97102</v>
      </c>
      <c r="E27">
        <v>118882</v>
      </c>
      <c r="F27">
        <v>114023</v>
      </c>
      <c r="G27">
        <v>159616</v>
      </c>
      <c r="H27">
        <v>195675</v>
      </c>
      <c r="I27">
        <v>330945</v>
      </c>
      <c r="J27">
        <v>319613</v>
      </c>
      <c r="K27">
        <v>307534</v>
      </c>
      <c r="L27">
        <v>633526</v>
      </c>
      <c r="M27">
        <v>345218</v>
      </c>
      <c r="O27">
        <v>2693068</v>
      </c>
    </row>
    <row r="29" spans="1:17" x14ac:dyDescent="0.75">
      <c r="A29" s="1" t="s">
        <v>96</v>
      </c>
    </row>
    <row r="30" spans="1:17" x14ac:dyDescent="0.75">
      <c r="A30" s="25" t="s">
        <v>90</v>
      </c>
      <c r="B30" s="26">
        <v>2011</v>
      </c>
      <c r="C30" s="26">
        <v>2012</v>
      </c>
      <c r="D30" s="26">
        <v>2013</v>
      </c>
      <c r="E30" s="26">
        <v>2014</v>
      </c>
      <c r="F30" s="26">
        <v>2015</v>
      </c>
      <c r="G30" s="26">
        <v>2016</v>
      </c>
      <c r="H30" s="26">
        <v>2017</v>
      </c>
      <c r="I30" s="26">
        <v>2018</v>
      </c>
      <c r="J30" s="26">
        <v>2019</v>
      </c>
      <c r="K30" s="26">
        <v>2020</v>
      </c>
      <c r="L30" s="26">
        <v>2021</v>
      </c>
      <c r="M30" s="26" t="s">
        <v>91</v>
      </c>
      <c r="O30" s="26" t="s">
        <v>92</v>
      </c>
      <c r="P30" s="26"/>
      <c r="Q30" s="1" t="s">
        <v>97</v>
      </c>
    </row>
    <row r="31" spans="1:17" x14ac:dyDescent="0.7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75">
      <c r="A32" t="s">
        <v>81</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7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75">
      <c r="A34" t="s">
        <v>31</v>
      </c>
      <c r="C34">
        <v>192</v>
      </c>
      <c r="D34">
        <v>1005</v>
      </c>
      <c r="E34">
        <v>1184</v>
      </c>
      <c r="F34">
        <v>18</v>
      </c>
      <c r="G34">
        <v>0</v>
      </c>
      <c r="H34">
        <v>0</v>
      </c>
      <c r="I34">
        <v>1</v>
      </c>
      <c r="J34">
        <v>0</v>
      </c>
      <c r="K34">
        <v>0</v>
      </c>
      <c r="L34">
        <v>0</v>
      </c>
      <c r="M34">
        <v>199</v>
      </c>
      <c r="O34">
        <f t="shared" si="1"/>
        <v>2599</v>
      </c>
      <c r="Q34">
        <f t="shared" si="2"/>
        <v>0</v>
      </c>
    </row>
    <row r="35" spans="1:17" x14ac:dyDescent="0.7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75">
      <c r="A36" t="s">
        <v>82</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75">
      <c r="A37" t="s">
        <v>83</v>
      </c>
      <c r="D37">
        <v>260</v>
      </c>
      <c r="E37">
        <v>1503</v>
      </c>
      <c r="F37">
        <v>3477</v>
      </c>
      <c r="G37">
        <v>3737</v>
      </c>
      <c r="H37">
        <v>3336</v>
      </c>
      <c r="I37">
        <v>1022</v>
      </c>
      <c r="J37">
        <v>604</v>
      </c>
      <c r="K37">
        <v>70</v>
      </c>
      <c r="L37">
        <v>0</v>
      </c>
      <c r="M37">
        <v>0</v>
      </c>
      <c r="O37">
        <f t="shared" si="1"/>
        <v>14009</v>
      </c>
      <c r="Q37">
        <f t="shared" si="2"/>
        <v>0</v>
      </c>
    </row>
    <row r="38" spans="1:17" x14ac:dyDescent="0.7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75">
      <c r="A39" t="s">
        <v>25</v>
      </c>
      <c r="G39">
        <v>0</v>
      </c>
      <c r="H39">
        <v>0</v>
      </c>
      <c r="I39">
        <v>0</v>
      </c>
      <c r="J39">
        <v>5369</v>
      </c>
      <c r="K39">
        <v>7202</v>
      </c>
      <c r="L39">
        <v>11076</v>
      </c>
      <c r="M39">
        <v>5530</v>
      </c>
      <c r="O39">
        <f t="shared" si="1"/>
        <v>29177</v>
      </c>
      <c r="Q39">
        <f t="shared" si="2"/>
        <v>2.4107294437213513E-2</v>
      </c>
    </row>
    <row r="40" spans="1:17" x14ac:dyDescent="0.75">
      <c r="A40" t="s">
        <v>27</v>
      </c>
      <c r="F40">
        <v>0</v>
      </c>
      <c r="G40">
        <v>0</v>
      </c>
      <c r="H40">
        <v>432</v>
      </c>
      <c r="I40">
        <v>474</v>
      </c>
      <c r="J40">
        <v>5244</v>
      </c>
      <c r="K40">
        <v>4556</v>
      </c>
      <c r="L40">
        <v>10855</v>
      </c>
      <c r="M40">
        <v>13030</v>
      </c>
      <c r="O40">
        <f t="shared" si="1"/>
        <v>34591</v>
      </c>
      <c r="Q40">
        <f t="shared" si="2"/>
        <v>2.3626280346330145E-2</v>
      </c>
    </row>
    <row r="41" spans="1:17" x14ac:dyDescent="0.75">
      <c r="A41" t="s">
        <v>28</v>
      </c>
      <c r="E41">
        <v>359</v>
      </c>
      <c r="F41">
        <v>1015</v>
      </c>
      <c r="G41">
        <v>1728</v>
      </c>
      <c r="H41">
        <v>2157</v>
      </c>
      <c r="I41">
        <v>996</v>
      </c>
      <c r="J41">
        <v>2528</v>
      </c>
      <c r="K41">
        <v>2848</v>
      </c>
      <c r="L41">
        <v>8717</v>
      </c>
      <c r="M41">
        <v>15261</v>
      </c>
      <c r="O41">
        <f t="shared" si="1"/>
        <v>35609</v>
      </c>
      <c r="Q41">
        <f t="shared" si="2"/>
        <v>1.8972849910544438E-2</v>
      </c>
    </row>
    <row r="42" spans="1:17" x14ac:dyDescent="0.75">
      <c r="A42" t="s">
        <v>84</v>
      </c>
      <c r="F42">
        <v>0</v>
      </c>
      <c r="G42">
        <v>0</v>
      </c>
      <c r="H42">
        <v>0</v>
      </c>
      <c r="I42">
        <v>0</v>
      </c>
      <c r="J42">
        <v>0</v>
      </c>
      <c r="K42">
        <v>135</v>
      </c>
      <c r="L42">
        <v>9863</v>
      </c>
      <c r="M42">
        <v>7331</v>
      </c>
      <c r="O42">
        <f t="shared" si="1"/>
        <v>17329</v>
      </c>
      <c r="Q42">
        <f t="shared" si="2"/>
        <v>2.146715827322471E-2</v>
      </c>
    </row>
    <row r="43" spans="1:17" x14ac:dyDescent="0.75">
      <c r="A43" t="s">
        <v>30</v>
      </c>
      <c r="D43">
        <v>0</v>
      </c>
      <c r="E43">
        <v>0</v>
      </c>
      <c r="F43">
        <v>0</v>
      </c>
      <c r="G43">
        <v>0</v>
      </c>
      <c r="H43">
        <v>0</v>
      </c>
      <c r="I43">
        <v>0</v>
      </c>
      <c r="J43">
        <v>130</v>
      </c>
      <c r="K43">
        <v>4414</v>
      </c>
      <c r="L43">
        <v>9419</v>
      </c>
      <c r="M43">
        <v>3895</v>
      </c>
      <c r="O43">
        <f t="shared" si="1"/>
        <v>17858</v>
      </c>
      <c r="Q43">
        <f t="shared" si="2"/>
        <v>2.0500777022762196E-2</v>
      </c>
    </row>
    <row r="44" spans="1:17" x14ac:dyDescent="0.75">
      <c r="A44" t="s">
        <v>85</v>
      </c>
      <c r="E44">
        <v>357</v>
      </c>
      <c r="F44">
        <v>4232</v>
      </c>
      <c r="G44">
        <v>3937</v>
      </c>
      <c r="H44">
        <v>3534</v>
      </c>
      <c r="I44">
        <v>1354</v>
      </c>
      <c r="J44">
        <v>4863</v>
      </c>
      <c r="K44">
        <v>767</v>
      </c>
      <c r="L44">
        <v>16775</v>
      </c>
      <c r="M44">
        <v>3820</v>
      </c>
      <c r="O44">
        <f t="shared" si="1"/>
        <v>39639</v>
      </c>
      <c r="Q44">
        <f t="shared" si="2"/>
        <v>3.6511363685830328E-2</v>
      </c>
    </row>
    <row r="45" spans="1:17" x14ac:dyDescent="0.75">
      <c r="A45" t="s">
        <v>86</v>
      </c>
      <c r="E45">
        <v>774</v>
      </c>
      <c r="F45">
        <v>1906</v>
      </c>
      <c r="G45">
        <v>632</v>
      </c>
      <c r="H45">
        <v>744</v>
      </c>
      <c r="I45">
        <v>135</v>
      </c>
      <c r="J45">
        <v>8</v>
      </c>
      <c r="K45">
        <v>0</v>
      </c>
      <c r="L45">
        <v>429</v>
      </c>
      <c r="M45">
        <v>3280</v>
      </c>
      <c r="O45">
        <f t="shared" si="1"/>
        <v>7908</v>
      </c>
      <c r="Q45">
        <f t="shared" si="2"/>
        <v>9.3373323524418542E-4</v>
      </c>
    </row>
    <row r="46" spans="1:17" x14ac:dyDescent="0.75">
      <c r="A46" t="s">
        <v>29</v>
      </c>
      <c r="B46">
        <v>76</v>
      </c>
      <c r="C46">
        <v>588</v>
      </c>
      <c r="D46">
        <v>1029</v>
      </c>
      <c r="E46">
        <v>196</v>
      </c>
      <c r="F46">
        <v>115</v>
      </c>
      <c r="G46">
        <v>94</v>
      </c>
      <c r="H46">
        <v>6</v>
      </c>
      <c r="I46">
        <v>0</v>
      </c>
      <c r="J46">
        <v>0</v>
      </c>
      <c r="K46">
        <v>0</v>
      </c>
      <c r="L46">
        <v>0</v>
      </c>
      <c r="M46">
        <v>0</v>
      </c>
      <c r="O46">
        <f t="shared" si="1"/>
        <v>2104</v>
      </c>
      <c r="Q46">
        <f t="shared" si="2"/>
        <v>0</v>
      </c>
    </row>
    <row r="47" spans="1:17" x14ac:dyDescent="0.75">
      <c r="A47" t="s">
        <v>87</v>
      </c>
      <c r="B47">
        <v>342</v>
      </c>
      <c r="C47">
        <v>139</v>
      </c>
      <c r="D47">
        <v>923</v>
      </c>
      <c r="E47">
        <v>2594</v>
      </c>
      <c r="F47">
        <v>1387</v>
      </c>
      <c r="G47">
        <v>657</v>
      </c>
      <c r="H47">
        <v>544</v>
      </c>
      <c r="I47">
        <v>1198</v>
      </c>
      <c r="J47">
        <v>680</v>
      </c>
      <c r="K47">
        <v>0</v>
      </c>
      <c r="L47">
        <v>0</v>
      </c>
      <c r="M47">
        <v>0</v>
      </c>
      <c r="O47">
        <f t="shared" si="1"/>
        <v>8464</v>
      </c>
      <c r="Q47">
        <f t="shared" si="2"/>
        <v>0</v>
      </c>
    </row>
    <row r="48" spans="1:17" x14ac:dyDescent="0.75">
      <c r="A48" t="s">
        <v>88</v>
      </c>
      <c r="I48">
        <v>393</v>
      </c>
      <c r="J48">
        <v>2594</v>
      </c>
      <c r="K48">
        <v>1658</v>
      </c>
      <c r="L48">
        <v>1062</v>
      </c>
      <c r="M48">
        <v>251</v>
      </c>
      <c r="O48">
        <f t="shared" si="1"/>
        <v>5958</v>
      </c>
      <c r="Q48">
        <f t="shared" si="2"/>
        <v>2.3114794774576337E-3</v>
      </c>
    </row>
    <row r="49" spans="1:17" x14ac:dyDescent="0.75">
      <c r="A49" t="s">
        <v>32</v>
      </c>
      <c r="L49">
        <v>0</v>
      </c>
      <c r="M49">
        <v>0</v>
      </c>
      <c r="O49">
        <f t="shared" si="1"/>
        <v>0</v>
      </c>
      <c r="Q49">
        <f t="shared" si="2"/>
        <v>0</v>
      </c>
    </row>
    <row r="50" spans="1:17" x14ac:dyDescent="0.75">
      <c r="A50" t="s">
        <v>73</v>
      </c>
      <c r="L50">
        <v>376</v>
      </c>
      <c r="M50">
        <v>3551</v>
      </c>
      <c r="O50">
        <f t="shared" si="1"/>
        <v>3927</v>
      </c>
      <c r="Q50">
        <f t="shared" si="2"/>
        <v>8.1837691480609253E-4</v>
      </c>
    </row>
    <row r="51" spans="1:17" x14ac:dyDescent="0.75">
      <c r="A51" t="s">
        <v>74</v>
      </c>
      <c r="L51">
        <v>65</v>
      </c>
      <c r="M51">
        <v>600</v>
      </c>
      <c r="O51">
        <f t="shared" si="1"/>
        <v>665</v>
      </c>
      <c r="Q51">
        <f t="shared" si="2"/>
        <v>1.4147473261275537E-4</v>
      </c>
    </row>
    <row r="52" spans="1:17" x14ac:dyDescent="0.75">
      <c r="A52" t="s">
        <v>72</v>
      </c>
      <c r="L52">
        <v>116</v>
      </c>
      <c r="M52">
        <v>293</v>
      </c>
      <c r="O52">
        <f t="shared" si="1"/>
        <v>409</v>
      </c>
      <c r="Q52">
        <f t="shared" si="2"/>
        <v>2.5247798435507112E-4</v>
      </c>
    </row>
    <row r="54" spans="1:17" x14ac:dyDescent="0.75">
      <c r="A54" t="s">
        <v>92</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75">
      <c r="A56" s="1" t="s">
        <v>98</v>
      </c>
    </row>
    <row r="57" spans="1:17" x14ac:dyDescent="0.75">
      <c r="A57" s="25" t="s">
        <v>90</v>
      </c>
      <c r="B57" s="26">
        <v>2011</v>
      </c>
      <c r="C57" s="26">
        <v>2012</v>
      </c>
      <c r="D57" s="26">
        <v>2013</v>
      </c>
      <c r="E57" s="26">
        <v>2014</v>
      </c>
      <c r="F57" s="26">
        <v>2015</v>
      </c>
      <c r="G57" s="26">
        <v>2016</v>
      </c>
      <c r="H57" s="26">
        <v>2017</v>
      </c>
      <c r="I57" s="26">
        <v>2018</v>
      </c>
      <c r="J57" s="26">
        <v>2019</v>
      </c>
      <c r="K57" s="26">
        <v>2020</v>
      </c>
      <c r="L57" s="26">
        <v>2021</v>
      </c>
      <c r="M57" s="26" t="s">
        <v>91</v>
      </c>
      <c r="O57" s="26" t="s">
        <v>92</v>
      </c>
      <c r="P57" s="26"/>
      <c r="Q57" s="1" t="s">
        <v>97</v>
      </c>
    </row>
    <row r="58" spans="1:17" x14ac:dyDescent="0.7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75">
      <c r="A59" t="s">
        <v>81</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7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7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7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75">
      <c r="A63" t="s">
        <v>82</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75">
      <c r="A64" t="s">
        <v>83</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7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7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7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7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75">
      <c r="A69" t="s">
        <v>84</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7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75">
      <c r="A71" t="s">
        <v>85</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75">
      <c r="A72" t="s">
        <v>86</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7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75">
      <c r="A74" t="s">
        <v>87</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75">
      <c r="A75" t="s">
        <v>88</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7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75">
      <c r="A77" t="s">
        <v>73</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75">
      <c r="A78" t="s">
        <v>74</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75">
      <c r="A79" t="s">
        <v>72</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75">
      <c r="A81" t="s">
        <v>92</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B2" sqref="B2"/>
    </sheetView>
  </sheetViews>
  <sheetFormatPr defaultRowHeight="14.75" x14ac:dyDescent="0.75"/>
  <cols>
    <col min="1" max="1" width="15.406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s="9">
        <f>Summary!C38</f>
        <v>7089.0804836407387</v>
      </c>
      <c r="C2" s="9">
        <f>Summary!D38</f>
        <v>7096.2738526461635</v>
      </c>
      <c r="D2" s="9">
        <f>Summary!E38</f>
        <v>4060.6060287258383</v>
      </c>
      <c r="E2" s="9">
        <f>Summary!F38</f>
        <v>1866.417433175201</v>
      </c>
      <c r="F2" s="9">
        <f>Summary!G38</f>
        <v>1282.0199650437494</v>
      </c>
      <c r="G2" s="9">
        <f>Summary!H38</f>
        <v>864.64370703529585</v>
      </c>
      <c r="H2" s="9">
        <f>Summary!I38</f>
        <v>744.07885409868288</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75" x14ac:dyDescent="0.75"/>
  <cols>
    <col min="1" max="1" width="16.86328125" customWidth="1"/>
  </cols>
  <sheetData>
    <row r="1" spans="1:32" ht="44.25" x14ac:dyDescent="0.7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7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7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7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7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7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7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2017-06-20T00:56:40Z</dcterms:created>
  <dcterms:modified xsi:type="dcterms:W3CDTF">2023-05-05T22:34:30Z</dcterms:modified>
</cp:coreProperties>
</file>