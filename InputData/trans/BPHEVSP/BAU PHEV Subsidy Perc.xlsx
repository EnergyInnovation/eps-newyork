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hidePivotFieldList="1" defaultThemeVersion="124226"/>
  <mc:AlternateContent xmlns:mc="http://schemas.openxmlformats.org/markup-compatibility/2006">
    <mc:Choice Requires="x15">
      <x15ac:absPath xmlns:x15ac="http://schemas.microsoft.com/office/spreadsheetml/2010/11/ac" url="C:\Users\dobrien\Dropbox (Energy Innovation)\Desktop\Models\State Models\eps-newyork\InputData\trans\BPHEVSP\"/>
    </mc:Choice>
  </mc:AlternateContent>
  <xr:revisionPtr revIDLastSave="0" documentId="13_ncr:1_{BEF87788-E856-427B-BEB3-1C13AB5FB479}" xr6:coauthVersionLast="47" xr6:coauthVersionMax="47" xr10:uidLastSave="{00000000-0000-0000-0000-000000000000}"/>
  <bookViews>
    <workbookView xWindow="31965" yWindow="2160" windowWidth="24480" windowHeight="13800" activeTab="4"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3" i="14" l="1"/>
  <c r="L33" i="14"/>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C33" i="14"/>
  <c r="D33" i="14"/>
  <c r="E33" i="14"/>
  <c r="F33" i="14"/>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C38" i="14" l="1"/>
  <c r="E84" i="15"/>
  <c r="B3" i="14"/>
  <c r="E82" i="15"/>
  <c r="E80" i="15"/>
  <c r="E85" i="15"/>
  <c r="E97" i="15"/>
  <c r="F82" i="15"/>
  <c r="G33" i="14"/>
  <c r="E83" i="15"/>
  <c r="F84" i="15"/>
  <c r="E87" i="15"/>
  <c r="H33" i="14"/>
  <c r="E94" i="15"/>
  <c r="E96" i="15"/>
  <c r="I33" i="14"/>
  <c r="J33" i="14" s="1"/>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<sst xmlns="http://schemas.openxmlformats.org/spreadsheetml/2006/main" count="271" uniqueCount="106">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</sst>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9"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28">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topLeftCell="A16" workbookViewId="0">
      <selection activeCell="G13" sqref="G13"/>
    </sheetView>
  </sheetViews>
  <sheetFormatPr defaultColWidth="9.1796875" defaultRowHeight="14.5" x14ac:dyDescent="0.35"/>
  <cols>
    <col min="2" max="2" width="70.81640625" style="3" customWidth="1"/>
  </cols>
  <sheetData>
    <row r="1" spans="1:2" x14ac:dyDescent="0.35">
      <c r="A1" s="1" t="s">
        <v>101</v>
      </c>
    </row>
    <row r="3" spans="1:2" x14ac:dyDescent="0.35">
      <c r="A3" s="1" t="s">
        <v>0</v>
      </c>
      <c r="B3" s="4" t="s">
        <v>36</v>
      </c>
    </row>
    <row r="4" spans="1:2" x14ac:dyDescent="0.35">
      <c r="B4" s="3" t="s">
        <v>37</v>
      </c>
    </row>
    <row r="5" spans="1:2" x14ac:dyDescent="0.35">
      <c r="B5" s="3">
        <v>2019</v>
      </c>
    </row>
    <row r="6" spans="1:2" x14ac:dyDescent="0.35">
      <c r="B6" s="3" t="s">
        <v>38</v>
      </c>
    </row>
    <row r="7" spans="1:2" x14ac:dyDescent="0.35">
      <c r="B7" s="14" t="s">
        <v>39</v>
      </c>
    </row>
    <row r="9" spans="1:2" x14ac:dyDescent="0.35">
      <c r="B9" s="4" t="s">
        <v>40</v>
      </c>
    </row>
    <row r="10" spans="1:2" x14ac:dyDescent="0.35">
      <c r="B10" s="3" t="s">
        <v>79</v>
      </c>
    </row>
    <row r="11" spans="1:2" x14ac:dyDescent="0.35">
      <c r="B11" s="3">
        <v>2022</v>
      </c>
    </row>
    <row r="12" spans="1:2" x14ac:dyDescent="0.35">
      <c r="B12" s="3" t="s">
        <v>80</v>
      </c>
    </row>
    <row r="14" spans="1:2" x14ac:dyDescent="0.35">
      <c r="B14" s="4" t="s">
        <v>9</v>
      </c>
    </row>
    <row r="15" spans="1:2" x14ac:dyDescent="0.35">
      <c r="B15" s="3" t="s">
        <v>76</v>
      </c>
    </row>
    <row r="16" spans="1:2" x14ac:dyDescent="0.35">
      <c r="B16" s="3">
        <v>2021</v>
      </c>
    </row>
    <row r="17" spans="1:2" x14ac:dyDescent="0.35">
      <c r="B17" s="3" t="s">
        <v>77</v>
      </c>
    </row>
    <row r="18" spans="1:2" x14ac:dyDescent="0.35">
      <c r="B18" s="3" t="s">
        <v>47</v>
      </c>
    </row>
    <row r="20" spans="1:2" x14ac:dyDescent="0.35">
      <c r="B20" s="3" t="s">
        <v>1</v>
      </c>
    </row>
    <row r="21" spans="1:2" x14ac:dyDescent="0.35">
      <c r="B21" s="3">
        <v>2022</v>
      </c>
    </row>
    <row r="22" spans="1:2" x14ac:dyDescent="0.35">
      <c r="B22" s="3" t="s">
        <v>78</v>
      </c>
    </row>
    <row r="23" spans="1:2" x14ac:dyDescent="0.35">
      <c r="B23" s="3" t="s">
        <v>49</v>
      </c>
    </row>
    <row r="26" spans="1:2" x14ac:dyDescent="0.35">
      <c r="A26" s="1" t="s">
        <v>2</v>
      </c>
    </row>
    <row r="27" spans="1:2" x14ac:dyDescent="0.35">
      <c r="A27" t="s">
        <v>22</v>
      </c>
    </row>
    <row r="28" spans="1:2" x14ac:dyDescent="0.35">
      <c r="A28" t="s">
        <v>14</v>
      </c>
    </row>
    <row r="29" spans="1:2" x14ac:dyDescent="0.35">
      <c r="A29" t="s">
        <v>13</v>
      </c>
    </row>
    <row r="31" spans="1:2" x14ac:dyDescent="0.35">
      <c r="A31" t="s">
        <v>15</v>
      </c>
    </row>
    <row r="33" spans="1:7" ht="58" x14ac:dyDescent="0.35">
      <c r="A33" s="16" t="s">
        <v>43</v>
      </c>
      <c r="B33">
        <v>0.88711067149387013</v>
      </c>
      <c r="G33" s="9"/>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J13" workbookViewId="0">
      <selection activeCell="J33" sqref="J33:AG33"/>
    </sheetView>
  </sheetViews>
  <sheetFormatPr defaultRowHeight="14.5" x14ac:dyDescent="0.35"/>
  <cols>
    <col min="1" max="1" width="45.36328125" customWidth="1"/>
    <col min="2" max="2" width="15.7265625" customWidth="1"/>
    <col min="3" max="3" width="19.08984375" customWidth="1"/>
  </cols>
  <sheetData>
    <row r="1" spans="1:31" x14ac:dyDescent="0.35">
      <c r="A1" s="1" t="s">
        <v>4</v>
      </c>
    </row>
    <row r="2" spans="1:31" x14ac:dyDescent="0.3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3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35">
      <c r="A4" s="2"/>
    </row>
    <row r="5" spans="1:31" x14ac:dyDescent="0.35">
      <c r="A5" s="5" t="s">
        <v>3</v>
      </c>
    </row>
    <row r="6" spans="1:31" x14ac:dyDescent="0.35">
      <c r="A6" s="2" t="s">
        <v>5</v>
      </c>
    </row>
    <row r="7" spans="1:31" x14ac:dyDescent="0.35">
      <c r="A7" s="2" t="s">
        <v>7</v>
      </c>
    </row>
    <row r="8" spans="1:31" x14ac:dyDescent="0.35">
      <c r="A8" s="18" t="s">
        <v>45</v>
      </c>
      <c r="B8" s="18"/>
    </row>
    <row r="9" spans="1:31" x14ac:dyDescent="0.35">
      <c r="A9" s="17" t="s">
        <v>46</v>
      </c>
      <c r="B9" s="17"/>
      <c r="C9" s="19" t="s">
        <v>47</v>
      </c>
    </row>
    <row r="10" spans="1:31" x14ac:dyDescent="0.35">
      <c r="A10" s="17" t="s">
        <v>48</v>
      </c>
      <c r="B10" s="17"/>
      <c r="C10" s="19" t="s">
        <v>49</v>
      </c>
    </row>
    <row r="11" spans="1:31" x14ac:dyDescent="0.35">
      <c r="A11" s="17" t="s">
        <v>50</v>
      </c>
      <c r="B11" s="17"/>
    </row>
    <row r="12" spans="1:31" x14ac:dyDescent="0.3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35">
      <c r="A13" s="17" t="s">
        <v>44</v>
      </c>
      <c r="B13" s="17">
        <v>0</v>
      </c>
      <c r="C13" s="17" t="s">
        <v>53</v>
      </c>
      <c r="D13" s="17">
        <v>4750</v>
      </c>
      <c r="E13" s="17">
        <v>4750</v>
      </c>
      <c r="F13" s="17">
        <v>3000</v>
      </c>
      <c r="G13" s="17">
        <v>3000</v>
      </c>
      <c r="H13" s="17">
        <v>2400</v>
      </c>
      <c r="I13" s="17">
        <v>2400</v>
      </c>
      <c r="J13" s="17">
        <v>2400</v>
      </c>
      <c r="K13" s="18" t="s">
        <v>54</v>
      </c>
    </row>
    <row r="14" spans="1:31" x14ac:dyDescent="0.35">
      <c r="A14" s="17" t="s">
        <v>55</v>
      </c>
      <c r="B14" s="17">
        <v>0</v>
      </c>
      <c r="C14" s="17" t="s">
        <v>53</v>
      </c>
      <c r="D14" s="17">
        <v>2250</v>
      </c>
      <c r="E14" s="17">
        <v>2250</v>
      </c>
      <c r="F14" s="17">
        <v>2250</v>
      </c>
      <c r="G14" s="17">
        <v>2250</v>
      </c>
      <c r="H14" s="17">
        <v>2250</v>
      </c>
      <c r="I14" s="17">
        <v>2250</v>
      </c>
      <c r="J14" s="17">
        <v>2250</v>
      </c>
      <c r="K14" s="17"/>
      <c r="R14" s="19" t="s">
        <v>56</v>
      </c>
    </row>
    <row r="15" spans="1:31" x14ac:dyDescent="0.35">
      <c r="A15" s="17" t="s">
        <v>57</v>
      </c>
      <c r="B15" s="17">
        <v>0</v>
      </c>
      <c r="C15" s="17" t="s">
        <v>53</v>
      </c>
      <c r="D15" s="17">
        <v>2500</v>
      </c>
      <c r="E15" s="17">
        <v>2500</v>
      </c>
      <c r="F15" s="17">
        <v>2500</v>
      </c>
      <c r="G15" s="17">
        <v>2500</v>
      </c>
      <c r="H15" s="17">
        <v>2500</v>
      </c>
      <c r="I15" s="17">
        <v>2500</v>
      </c>
      <c r="J15" s="17">
        <v>2500</v>
      </c>
    </row>
    <row r="16" spans="1:31" ht="15.75" customHeight="1" x14ac:dyDescent="0.3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35">
      <c r="A17" s="17" t="s">
        <v>59</v>
      </c>
      <c r="B17" s="17">
        <v>0</v>
      </c>
      <c r="C17" s="17" t="s">
        <v>53</v>
      </c>
      <c r="D17" s="17">
        <v>2500</v>
      </c>
      <c r="E17" s="17">
        <v>0</v>
      </c>
      <c r="F17" s="17">
        <v>0</v>
      </c>
      <c r="G17" s="17">
        <v>0</v>
      </c>
      <c r="H17" s="17">
        <v>0</v>
      </c>
      <c r="I17" s="17">
        <v>0</v>
      </c>
      <c r="J17" s="17">
        <v>0</v>
      </c>
      <c r="K17" s="17" t="s">
        <v>60</v>
      </c>
      <c r="R17" s="23"/>
    </row>
    <row r="18" spans="1:33" ht="15.75" customHeight="1" x14ac:dyDescent="0.35">
      <c r="A18" s="17" t="s">
        <v>61</v>
      </c>
      <c r="B18" s="17">
        <v>0</v>
      </c>
      <c r="C18" s="17" t="s">
        <v>53</v>
      </c>
      <c r="D18" s="17">
        <v>2500</v>
      </c>
      <c r="E18" s="17">
        <v>2500</v>
      </c>
      <c r="F18" s="17">
        <v>2500</v>
      </c>
      <c r="G18" s="17">
        <v>2500</v>
      </c>
      <c r="H18" s="17">
        <v>2500</v>
      </c>
      <c r="I18" s="17">
        <v>2500</v>
      </c>
      <c r="J18" s="17">
        <v>2500</v>
      </c>
    </row>
    <row r="19" spans="1:33" ht="15.75" customHeight="1" x14ac:dyDescent="0.35">
      <c r="A19" s="17" t="s">
        <v>62</v>
      </c>
      <c r="B19" s="17">
        <v>0</v>
      </c>
      <c r="C19" s="17" t="s">
        <v>53</v>
      </c>
      <c r="D19" s="24">
        <v>1500</v>
      </c>
      <c r="E19" s="24">
        <v>1500</v>
      </c>
      <c r="F19" s="24">
        <v>1500</v>
      </c>
      <c r="G19" s="24">
        <v>1500</v>
      </c>
      <c r="H19" s="24">
        <v>1500</v>
      </c>
      <c r="I19" s="24">
        <v>1500</v>
      </c>
      <c r="J19" s="24">
        <v>1500</v>
      </c>
    </row>
    <row r="20" spans="1:33" ht="15.75" customHeight="1" x14ac:dyDescent="0.35">
      <c r="A20" s="17" t="s">
        <v>63</v>
      </c>
      <c r="B20" s="17">
        <v>0</v>
      </c>
      <c r="C20" s="17" t="s">
        <v>53</v>
      </c>
      <c r="D20" s="17">
        <v>2000</v>
      </c>
      <c r="E20" s="17">
        <v>2000</v>
      </c>
      <c r="F20" s="17">
        <v>2000</v>
      </c>
      <c r="G20" s="17">
        <v>2000</v>
      </c>
      <c r="H20" s="17">
        <v>2000</v>
      </c>
      <c r="I20" s="17">
        <v>2000</v>
      </c>
      <c r="J20" s="17">
        <v>2000</v>
      </c>
    </row>
    <row r="21" spans="1:33" ht="15.75" customHeight="1" x14ac:dyDescent="0.35">
      <c r="A21" s="17" t="s">
        <v>64</v>
      </c>
      <c r="B21" s="17">
        <v>0</v>
      </c>
      <c r="C21" s="17" t="s">
        <v>53</v>
      </c>
      <c r="D21" s="17">
        <v>2500</v>
      </c>
      <c r="E21" s="17">
        <v>2500</v>
      </c>
      <c r="F21" s="17">
        <v>2500</v>
      </c>
      <c r="G21" s="17">
        <v>2500</v>
      </c>
      <c r="H21" s="17">
        <v>2500</v>
      </c>
      <c r="I21" s="17">
        <v>2500</v>
      </c>
      <c r="J21" s="17">
        <v>2500</v>
      </c>
    </row>
    <row r="22" spans="1:33" ht="15.75" customHeight="1" x14ac:dyDescent="0.35">
      <c r="A22" s="17" t="s">
        <v>65</v>
      </c>
      <c r="B22" s="17">
        <v>0</v>
      </c>
      <c r="C22" s="17" t="s">
        <v>53</v>
      </c>
      <c r="D22" s="17">
        <v>2500</v>
      </c>
      <c r="E22" s="17">
        <v>2500</v>
      </c>
      <c r="F22" s="17">
        <v>2500</v>
      </c>
      <c r="G22" s="17">
        <v>2500</v>
      </c>
      <c r="H22" s="17">
        <v>2500</v>
      </c>
      <c r="I22" s="17">
        <v>2500</v>
      </c>
      <c r="J22" s="17">
        <v>2500</v>
      </c>
    </row>
    <row r="23" spans="1:33" ht="15.75" customHeight="1" x14ac:dyDescent="0.35">
      <c r="A23" s="17" t="s">
        <v>66</v>
      </c>
      <c r="B23" s="17">
        <v>0</v>
      </c>
      <c r="C23" s="17" t="s">
        <v>53</v>
      </c>
      <c r="D23" s="17">
        <v>5000</v>
      </c>
      <c r="E23" s="17">
        <v>5000</v>
      </c>
      <c r="F23" s="17">
        <v>5000</v>
      </c>
      <c r="G23" s="17">
        <v>5000</v>
      </c>
      <c r="H23" s="17">
        <v>5000</v>
      </c>
      <c r="I23" s="17">
        <v>5000</v>
      </c>
      <c r="J23" s="17">
        <v>5000</v>
      </c>
    </row>
    <row r="24" spans="1:33" ht="15.75" customHeight="1" x14ac:dyDescent="0.35">
      <c r="A24" s="17" t="s">
        <v>67</v>
      </c>
      <c r="B24" s="17">
        <v>0</v>
      </c>
      <c r="C24" s="17" t="s">
        <v>53</v>
      </c>
      <c r="D24" s="17">
        <v>2500</v>
      </c>
      <c r="E24" s="17">
        <v>2500</v>
      </c>
      <c r="F24" s="17">
        <v>2500</v>
      </c>
      <c r="G24" s="17">
        <v>2500</v>
      </c>
      <c r="H24" s="17">
        <v>2500</v>
      </c>
      <c r="I24" s="17">
        <v>2500</v>
      </c>
      <c r="J24" s="17">
        <v>2500</v>
      </c>
    </row>
    <row r="25" spans="1:33" ht="15.75" customHeight="1" x14ac:dyDescent="0.35">
      <c r="A25" s="17" t="s">
        <v>68</v>
      </c>
      <c r="B25" s="17">
        <v>0</v>
      </c>
      <c r="C25" s="17" t="s">
        <v>53</v>
      </c>
      <c r="D25" s="17">
        <v>4000</v>
      </c>
      <c r="E25" s="17">
        <v>4000</v>
      </c>
      <c r="F25" s="17">
        <v>4000</v>
      </c>
      <c r="G25" s="17">
        <v>4000</v>
      </c>
      <c r="H25" s="17">
        <v>4000</v>
      </c>
      <c r="I25" s="17">
        <v>4000</v>
      </c>
      <c r="J25" s="17">
        <v>4000</v>
      </c>
      <c r="K25" s="17" t="s">
        <v>69</v>
      </c>
    </row>
    <row r="26" spans="1:33" ht="15.75" customHeight="1" x14ac:dyDescent="0.35">
      <c r="A26" s="17" t="s">
        <v>71</v>
      </c>
      <c r="B26" s="17">
        <v>0</v>
      </c>
      <c r="C26" s="17"/>
      <c r="D26" s="17">
        <v>0</v>
      </c>
      <c r="E26" s="17">
        <v>0</v>
      </c>
      <c r="F26" s="17">
        <v>0</v>
      </c>
      <c r="G26" s="17">
        <v>0</v>
      </c>
      <c r="H26" s="17">
        <v>0</v>
      </c>
      <c r="I26" s="17">
        <v>0</v>
      </c>
      <c r="J26" s="17">
        <v>0</v>
      </c>
      <c r="K26" s="17"/>
    </row>
    <row r="27" spans="1:33" ht="15.75" customHeight="1" x14ac:dyDescent="0.35">
      <c r="A27" s="17" t="s">
        <v>70</v>
      </c>
      <c r="B27" s="17">
        <v>0</v>
      </c>
    </row>
    <row r="28" spans="1:33" ht="15.75" customHeight="1" x14ac:dyDescent="0.35">
      <c r="A28" s="17"/>
      <c r="B28" s="17"/>
      <c r="C28" s="17"/>
      <c r="D28" s="17"/>
      <c r="E28" s="17"/>
      <c r="F28" s="17"/>
      <c r="G28" s="17"/>
      <c r="H28" s="17"/>
      <c r="I28" s="17"/>
      <c r="J28" s="18"/>
    </row>
    <row r="29" spans="1:33" x14ac:dyDescent="0.35">
      <c r="A29" s="6" t="s">
        <v>6</v>
      </c>
    </row>
    <row r="30" spans="1:33" x14ac:dyDescent="0.35">
      <c r="A30" s="2"/>
    </row>
    <row r="31" spans="1:33" x14ac:dyDescent="0.35">
      <c r="A31" s="2" t="s">
        <v>10</v>
      </c>
    </row>
    <row r="32" spans="1:33" x14ac:dyDescent="0.3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35">
      <c r="C33" s="2">
        <f t="shared" ref="C33" si="1">SUMPRODUCT(D13:D26,$B$13:$B$26)/SUM($B$13:$B$26)</f>
        <v>500</v>
      </c>
      <c r="D33" s="2">
        <f t="shared" ref="D33" si="2">SUMPRODUCT(E13:E26,$B$13:$B$26)/SUM($B$13:$B$26)</f>
        <v>500</v>
      </c>
      <c r="E33" s="2">
        <f t="shared" ref="E33" si="3">SUMPRODUCT(F13:F26,$B$13:$B$26)/SUM($B$13:$B$26)</f>
        <v>500</v>
      </c>
      <c r="F33" s="2">
        <f t="shared" ref="F33" si="4">SUMPRODUCT(G13:G26,$B$13:$B$26)/SUM($B$13:$B$26)</f>
        <v>500</v>
      </c>
      <c r="G33" s="2">
        <f t="shared" ref="F33:I33" si="5">SUMPRODUCT(H13:H26,$B$13:$B$26)/SUM($B$13:$B$26)</f>
        <v>500</v>
      </c>
      <c r="H33" s="2">
        <f t="shared" si="5"/>
        <v>500</v>
      </c>
      <c r="I33" s="2">
        <f t="shared" si="5"/>
        <v>500</v>
      </c>
      <c r="J33" s="2">
        <f>I33</f>
        <v>500</v>
      </c>
      <c r="K33" s="2">
        <f t="shared" ref="K33:AG33" si="6">J33</f>
        <v>500</v>
      </c>
      <c r="L33" s="2">
        <f t="shared" si="6"/>
        <v>500</v>
      </c>
      <c r="M33" s="2">
        <f t="shared" si="6"/>
        <v>500</v>
      </c>
      <c r="N33" s="2">
        <f t="shared" si="6"/>
        <v>500</v>
      </c>
      <c r="O33" s="2">
        <f t="shared" si="6"/>
        <v>500</v>
      </c>
      <c r="P33" s="2">
        <f t="shared" si="6"/>
        <v>500</v>
      </c>
      <c r="Q33" s="2">
        <f t="shared" si="6"/>
        <v>500</v>
      </c>
      <c r="R33" s="2">
        <f t="shared" si="6"/>
        <v>500</v>
      </c>
      <c r="S33" s="2">
        <f t="shared" si="6"/>
        <v>500</v>
      </c>
      <c r="T33" s="2">
        <f t="shared" si="6"/>
        <v>500</v>
      </c>
      <c r="U33" s="2">
        <f t="shared" si="6"/>
        <v>500</v>
      </c>
      <c r="V33" s="2">
        <f t="shared" si="6"/>
        <v>500</v>
      </c>
      <c r="W33" s="2">
        <f t="shared" si="6"/>
        <v>500</v>
      </c>
      <c r="X33" s="2">
        <f t="shared" si="6"/>
        <v>500</v>
      </c>
      <c r="Y33" s="2">
        <f t="shared" si="6"/>
        <v>500</v>
      </c>
      <c r="Z33" s="2">
        <f t="shared" si="6"/>
        <v>500</v>
      </c>
      <c r="AA33" s="2">
        <f t="shared" si="6"/>
        <v>500</v>
      </c>
      <c r="AB33" s="2">
        <f t="shared" si="6"/>
        <v>500</v>
      </c>
      <c r="AC33" s="2">
        <f t="shared" si="6"/>
        <v>500</v>
      </c>
      <c r="AD33" s="2">
        <f t="shared" si="6"/>
        <v>500</v>
      </c>
      <c r="AE33" s="2">
        <f t="shared" si="6"/>
        <v>500</v>
      </c>
      <c r="AF33" s="2">
        <f t="shared" si="6"/>
        <v>500</v>
      </c>
      <c r="AG33" s="2">
        <f t="shared" si="6"/>
        <v>500</v>
      </c>
    </row>
    <row r="34" spans="1:33" x14ac:dyDescent="0.3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35">
      <c r="A35" s="2"/>
    </row>
    <row r="36" spans="1:33" x14ac:dyDescent="0.35">
      <c r="A36" s="2" t="s">
        <v>95</v>
      </c>
    </row>
    <row r="37" spans="1:33" x14ac:dyDescent="0.3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35">
      <c r="B38" s="2"/>
      <c r="C38" s="2">
        <f>(A3+C33)*About!$B$33</f>
        <v>7089.0804836407387</v>
      </c>
      <c r="D38" s="2">
        <f>(B3+D33)*About!$B$33</f>
        <v>7096.2738526461635</v>
      </c>
      <c r="E38" s="2">
        <f>(C3+E33)*About!$B$33</f>
        <v>4060.6060287258383</v>
      </c>
      <c r="F38" s="2">
        <f>(D3+F33)*About!$B$33</f>
        <v>1866.417433175201</v>
      </c>
      <c r="G38" s="2">
        <f>(E3+G33)*About!$B$33</f>
        <v>1282.0199650437494</v>
      </c>
      <c r="H38" s="2">
        <f>(F3+H33)*About!$B$33</f>
        <v>864.64370703529585</v>
      </c>
      <c r="I38" s="2">
        <f>(G3+I33)*About!$B$33</f>
        <v>744.07885409868288</v>
      </c>
      <c r="J38" s="2">
        <f>(H3+J33)*About!$B$33</f>
        <v>744.07885409868288</v>
      </c>
      <c r="K38" s="2">
        <f>(I3+K33)*About!$B$33</f>
        <v>744.07885409868288</v>
      </c>
      <c r="L38" s="2">
        <f>(J3+L33)*About!$B$33</f>
        <v>744.07885409868288</v>
      </c>
      <c r="M38" s="2">
        <f>(K3+M33)*About!$B$33</f>
        <v>744.07885409868288</v>
      </c>
      <c r="N38" s="2">
        <f>(L3+N33)*About!$B$33</f>
        <v>744.07885409868288</v>
      </c>
      <c r="O38" s="2">
        <f>(M3+O33)*About!$B$33</f>
        <v>688.80324193841125</v>
      </c>
      <c r="P38" s="2">
        <f>(N3+P33)*About!$B$33</f>
        <v>593.10047073749865</v>
      </c>
      <c r="Q38" s="2">
        <f>(O3+Q33)*About!$B$33</f>
        <v>501.83121449637264</v>
      </c>
      <c r="R38" s="2">
        <f>(P3+R33)*About!$B$33</f>
        <v>455.1789800326689</v>
      </c>
      <c r="S38" s="2">
        <f>(Q3+S33)*About!$B$33</f>
        <v>446.53649235782615</v>
      </c>
      <c r="T38" s="2">
        <f>(R3+T33)*About!$B$33</f>
        <v>446.53649235782615</v>
      </c>
      <c r="U38" s="2">
        <f>(S3+U33)*About!$B$33</f>
        <v>446.53649235782615</v>
      </c>
      <c r="V38" s="2">
        <f>(T3+V33)*About!$B$33</f>
        <v>446.53649235782615</v>
      </c>
      <c r="W38" s="2">
        <f>(U3+W33)*About!$B$33</f>
        <v>446.53649235782615</v>
      </c>
      <c r="X38" s="2">
        <f>(V3+X33)*About!$B$33</f>
        <v>446.53649235782615</v>
      </c>
      <c r="Y38" s="2">
        <f>(W3+Y33)*About!$B$33</f>
        <v>446.53649235782615</v>
      </c>
      <c r="Z38" s="2">
        <f>(X3+Z33)*About!$B$33</f>
        <v>446.53649235782615</v>
      </c>
      <c r="AA38" s="2">
        <f>(Y3+AA33)*About!$B$33</f>
        <v>446.53649235782615</v>
      </c>
      <c r="AB38" s="2">
        <f>(Z3+AB33)*About!$B$33</f>
        <v>446.53649235782615</v>
      </c>
      <c r="AC38" s="2">
        <f>(AA3+AC33)*About!$B$33</f>
        <v>446.53649235782615</v>
      </c>
      <c r="AD38" s="2">
        <f>(AB3+AD33)*About!$B$33</f>
        <v>446.53649235782615</v>
      </c>
      <c r="AE38" s="2">
        <f>(AC3+AE33)*About!$B$33</f>
        <v>446.53649235782615</v>
      </c>
      <c r="AF38" s="2">
        <f>(AD3+AF33)*About!$B$33</f>
        <v>444.67326947601924</v>
      </c>
      <c r="AG38" s="2">
        <f>(AE3+AG33)*About!$B$33</f>
        <v>443.55533574693504</v>
      </c>
    </row>
    <row r="40" spans="1:33" x14ac:dyDescent="0.3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3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35">
      <c r="A43" t="s">
        <v>12</v>
      </c>
    </row>
    <row r="44" spans="1:33" x14ac:dyDescent="0.3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35">
      <c r="A45" s="7"/>
      <c r="B45" s="7"/>
      <c r="C45" s="7">
        <f>C38/B41</f>
        <v>0.19218891947190639</v>
      </c>
      <c r="D45" s="7">
        <f t="shared" ref="D45:AG45" si="7">D38/C41</f>
        <v>0.19006009729346662</v>
      </c>
      <c r="E45" s="7">
        <f t="shared" si="7"/>
        <v>0.10877885902986521</v>
      </c>
      <c r="F45" s="7">
        <f t="shared" si="7"/>
        <v>4.976715017932435E-2</v>
      </c>
      <c r="G45" s="7">
        <f t="shared" si="7"/>
        <v>3.4168975614172425E-2</v>
      </c>
      <c r="H45" s="7">
        <f t="shared" si="7"/>
        <v>2.2975067944818406E-2</v>
      </c>
      <c r="I45" s="7">
        <f t="shared" si="7"/>
        <v>1.9751509187159771E-2</v>
      </c>
      <c r="J45" s="7">
        <f t="shared" si="7"/>
        <v>1.973841032704679E-2</v>
      </c>
      <c r="K45" s="7">
        <f t="shared" si="7"/>
        <v>1.9716965766566404E-2</v>
      </c>
      <c r="L45" s="7">
        <f t="shared" si="7"/>
        <v>1.9687750809617474E-2</v>
      </c>
      <c r="M45" s="7">
        <f t="shared" si="7"/>
        <v>1.9653429849410535E-2</v>
      </c>
      <c r="N45" s="7">
        <f t="shared" si="7"/>
        <v>1.9615607890192784E-2</v>
      </c>
      <c r="O45" s="7">
        <f t="shared" si="7"/>
        <v>1.8113530963221165E-2</v>
      </c>
      <c r="P45" s="7">
        <f t="shared" si="7"/>
        <v>1.5558774153659461E-2</v>
      </c>
      <c r="Q45" s="7">
        <f t="shared" si="7"/>
        <v>1.314795678307411E-2</v>
      </c>
      <c r="R45" s="7">
        <f t="shared" si="7"/>
        <v>1.191412066568954E-2</v>
      </c>
      <c r="S45" s="7">
        <f t="shared" si="7"/>
        <v>1.1678736559639758E-2</v>
      </c>
      <c r="T45" s="7">
        <f t="shared" si="7"/>
        <v>1.1672020606890926E-2</v>
      </c>
      <c r="U45" s="7">
        <f t="shared" si="7"/>
        <v>1.1668970453859099E-2</v>
      </c>
      <c r="V45" s="7">
        <f t="shared" si="7"/>
        <v>1.1666836295078281E-2</v>
      </c>
      <c r="W45" s="7">
        <f t="shared" si="7"/>
        <v>1.1668360614539866E-2</v>
      </c>
      <c r="X45" s="7">
        <f t="shared" si="7"/>
        <v>1.1668360614539866E-2</v>
      </c>
      <c r="Y45" s="7">
        <f t="shared" si="7"/>
        <v>1.1669885332370535E-2</v>
      </c>
      <c r="Z45" s="7">
        <f t="shared" si="7"/>
        <v>1.1673546281444791E-2</v>
      </c>
      <c r="AA45" s="7">
        <f t="shared" si="7"/>
        <v>1.1677209528185831E-2</v>
      </c>
      <c r="AB45" s="7">
        <f t="shared" si="7"/>
        <v>1.1680875074757407E-2</v>
      </c>
      <c r="AC45" s="7">
        <f t="shared" si="7"/>
        <v>1.1685154455378294E-2</v>
      </c>
      <c r="AD45" s="7">
        <f t="shared" si="7"/>
        <v>1.1688213076060782E-2</v>
      </c>
      <c r="AE45" s="7">
        <f t="shared" si="7"/>
        <v>1.169096720402739E-2</v>
      </c>
      <c r="AF45" s="7">
        <f t="shared" si="7"/>
        <v>1.1644319405991916E-2</v>
      </c>
      <c r="AG45" s="7">
        <f t="shared" si="7"/>
        <v>1.1619000281517617E-2</v>
      </c>
    </row>
    <row r="57" spans="2:12" x14ac:dyDescent="0.3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5" x14ac:dyDescent="0.35"/>
  <cols>
    <col min="1" max="1" width="51.81640625" customWidth="1"/>
    <col min="2" max="2" width="31" customWidth="1"/>
    <col min="3" max="3" width="36.453125" customWidth="1"/>
    <col min="4" max="4" width="10.7265625" customWidth="1"/>
    <col min="5" max="5" width="14.36328125" customWidth="1"/>
    <col min="6" max="6" width="11.81640625" customWidth="1"/>
    <col min="7" max="7" width="13.08984375" customWidth="1"/>
    <col min="8" max="8" width="11" customWidth="1"/>
    <col min="9" max="9" width="10.7265625" customWidth="1"/>
    <col min="10" max="10" width="11.81640625" customWidth="1"/>
  </cols>
  <sheetData>
    <row r="1" spans="1:35" x14ac:dyDescent="0.35">
      <c r="D1" t="s">
        <v>23</v>
      </c>
    </row>
    <row r="2" spans="1:35" x14ac:dyDescent="0.3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3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3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3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3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3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3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3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3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3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3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3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3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3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3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3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3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3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3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3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3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3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3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3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35">
      <c r="A26" s="25" t="s">
        <v>75</v>
      </c>
    </row>
    <row r="27" spans="1:35" x14ac:dyDescent="0.3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3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3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3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3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3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3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3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3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3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3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3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3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3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3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3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3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3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3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3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3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3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3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3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3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3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3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3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3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3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3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3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3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3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3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3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3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3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3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3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3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3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3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3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3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3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3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3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3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3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3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3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3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3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3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3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3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3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3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3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3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3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3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3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3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3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3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3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3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3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3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3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3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3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3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5" x14ac:dyDescent="0.35"/>
  <cols>
    <col min="1" max="1" width="21.1796875" customWidth="1"/>
    <col min="16" max="16" width="13.26953125" customWidth="1"/>
  </cols>
  <sheetData>
    <row r="1" spans="1:17" x14ac:dyDescent="0.35">
      <c r="A1" t="s">
        <v>89</v>
      </c>
    </row>
    <row r="2" spans="1:17" x14ac:dyDescent="0.35">
      <c r="A2" s="1" t="s">
        <v>93</v>
      </c>
    </row>
    <row r="3" spans="1:17" ht="29" x14ac:dyDescent="0.3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3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3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3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3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3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3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3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3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35">
      <c r="A12" t="s">
        <v>25</v>
      </c>
      <c r="G12">
        <v>4280</v>
      </c>
      <c r="H12">
        <v>2877</v>
      </c>
      <c r="I12">
        <v>2391</v>
      </c>
      <c r="J12">
        <v>5410</v>
      </c>
      <c r="K12">
        <v>11670</v>
      </c>
      <c r="L12">
        <v>20019</v>
      </c>
      <c r="M12">
        <v>9704</v>
      </c>
      <c r="O12">
        <v>56351</v>
      </c>
      <c r="P12" s="7">
        <f t="shared" si="0"/>
        <v>3.159933451823603E-2</v>
      </c>
    </row>
    <row r="13" spans="1:17" x14ac:dyDescent="0.35">
      <c r="A13" t="s">
        <v>27</v>
      </c>
      <c r="F13">
        <v>15</v>
      </c>
      <c r="G13">
        <v>3000</v>
      </c>
      <c r="H13">
        <v>2686</v>
      </c>
      <c r="I13">
        <v>2684</v>
      </c>
      <c r="J13">
        <v>8045</v>
      </c>
      <c r="K13">
        <v>8793</v>
      </c>
      <c r="L13">
        <v>17013</v>
      </c>
      <c r="M13">
        <v>17215</v>
      </c>
      <c r="O13">
        <v>59451</v>
      </c>
      <c r="P13" s="7">
        <f t="shared" si="0"/>
        <v>2.6854462168877047E-2</v>
      </c>
    </row>
    <row r="14" spans="1:17" x14ac:dyDescent="0.35">
      <c r="A14" t="s">
        <v>28</v>
      </c>
      <c r="E14">
        <v>359</v>
      </c>
      <c r="F14">
        <v>1015</v>
      </c>
      <c r="G14">
        <v>1728</v>
      </c>
      <c r="H14">
        <v>3669</v>
      </c>
      <c r="I14">
        <v>5670</v>
      </c>
      <c r="J14">
        <v>6769</v>
      </c>
      <c r="K14">
        <v>5302</v>
      </c>
      <c r="L14">
        <v>14617</v>
      </c>
      <c r="M14">
        <v>19481</v>
      </c>
      <c r="O14">
        <v>58610</v>
      </c>
      <c r="P14" s="7">
        <f t="shared" si="0"/>
        <v>2.3072454800592241E-2</v>
      </c>
    </row>
    <row r="15" spans="1:17" x14ac:dyDescent="0.35">
      <c r="A15" t="s">
        <v>84</v>
      </c>
      <c r="F15">
        <v>86</v>
      </c>
      <c r="G15">
        <v>2015</v>
      </c>
      <c r="H15">
        <v>2826</v>
      </c>
      <c r="I15">
        <v>3818</v>
      </c>
      <c r="J15">
        <v>3683</v>
      </c>
      <c r="K15">
        <v>7241</v>
      </c>
      <c r="L15">
        <v>25469</v>
      </c>
      <c r="M15">
        <v>13813</v>
      </c>
      <c r="O15">
        <v>58951</v>
      </c>
      <c r="P15" s="7">
        <f t="shared" si="0"/>
        <v>4.0201980660620085E-2</v>
      </c>
    </row>
    <row r="16" spans="1:17" x14ac:dyDescent="0.35">
      <c r="A16" t="s">
        <v>30</v>
      </c>
      <c r="D16">
        <v>51</v>
      </c>
      <c r="E16">
        <v>991</v>
      </c>
      <c r="F16">
        <v>1570</v>
      </c>
      <c r="G16">
        <v>2504</v>
      </c>
      <c r="H16">
        <v>1592</v>
      </c>
      <c r="I16">
        <v>2152</v>
      </c>
      <c r="J16">
        <v>2705</v>
      </c>
      <c r="K16">
        <v>6935</v>
      </c>
      <c r="L16">
        <v>11931</v>
      </c>
      <c r="M16">
        <v>4760</v>
      </c>
      <c r="O16">
        <v>35191</v>
      </c>
      <c r="P16" s="7">
        <f t="shared" si="0"/>
        <v>1.8832691949501677E-2</v>
      </c>
    </row>
    <row r="17" spans="1:17" x14ac:dyDescent="0.35">
      <c r="A17" t="s">
        <v>85</v>
      </c>
      <c r="E17">
        <v>357</v>
      </c>
      <c r="F17">
        <v>4232</v>
      </c>
      <c r="G17">
        <v>3937</v>
      </c>
      <c r="H17">
        <v>3534</v>
      </c>
      <c r="I17">
        <v>1354</v>
      </c>
      <c r="J17">
        <v>4863</v>
      </c>
      <c r="K17">
        <v>767</v>
      </c>
      <c r="L17">
        <v>16775</v>
      </c>
      <c r="M17">
        <v>3820</v>
      </c>
      <c r="O17">
        <v>39639</v>
      </c>
      <c r="P17" s="7">
        <f t="shared" si="0"/>
        <v>2.6478786979539908E-2</v>
      </c>
    </row>
    <row r="18" spans="1:17" x14ac:dyDescent="0.35">
      <c r="A18" t="s">
        <v>86</v>
      </c>
      <c r="E18">
        <v>774</v>
      </c>
      <c r="F18">
        <v>2024</v>
      </c>
      <c r="G18">
        <v>1584</v>
      </c>
      <c r="H18">
        <v>2690</v>
      </c>
      <c r="I18">
        <v>2336</v>
      </c>
      <c r="J18">
        <v>5389</v>
      </c>
      <c r="K18">
        <v>1236</v>
      </c>
      <c r="L18">
        <v>507</v>
      </c>
      <c r="M18">
        <v>3280</v>
      </c>
      <c r="O18">
        <v>19820</v>
      </c>
      <c r="P18" s="7">
        <f t="shared" si="0"/>
        <v>8.0028286131903035E-4</v>
      </c>
    </row>
    <row r="19" spans="1:17" x14ac:dyDescent="0.3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35">
      <c r="A20" t="s">
        <v>87</v>
      </c>
      <c r="B20">
        <v>342</v>
      </c>
      <c r="C20">
        <v>139</v>
      </c>
      <c r="D20">
        <v>923</v>
      </c>
      <c r="E20">
        <v>2594</v>
      </c>
      <c r="F20">
        <v>1387</v>
      </c>
      <c r="G20">
        <v>657</v>
      </c>
      <c r="H20">
        <v>544</v>
      </c>
      <c r="I20">
        <v>1198</v>
      </c>
      <c r="J20">
        <v>680</v>
      </c>
      <c r="K20">
        <v>0</v>
      </c>
      <c r="L20">
        <v>0</v>
      </c>
      <c r="M20">
        <v>0</v>
      </c>
      <c r="O20">
        <v>8464</v>
      </c>
      <c r="P20" s="7">
        <f t="shared" si="0"/>
        <v>0</v>
      </c>
    </row>
    <row r="21" spans="1:17" x14ac:dyDescent="0.35">
      <c r="A21" t="s">
        <v>88</v>
      </c>
      <c r="I21">
        <v>393</v>
      </c>
      <c r="J21">
        <v>3002</v>
      </c>
      <c r="K21">
        <v>3129</v>
      </c>
      <c r="L21">
        <v>1665</v>
      </c>
      <c r="M21">
        <v>251</v>
      </c>
      <c r="O21">
        <v>8440</v>
      </c>
      <c r="P21" s="7">
        <f t="shared" si="0"/>
        <v>2.6281478581778807E-3</v>
      </c>
    </row>
    <row r="22" spans="1:17" x14ac:dyDescent="0.35">
      <c r="A22" t="s">
        <v>32</v>
      </c>
      <c r="I22">
        <v>0</v>
      </c>
      <c r="J22">
        <v>2591</v>
      </c>
      <c r="K22">
        <v>2514</v>
      </c>
      <c r="L22">
        <v>2618</v>
      </c>
      <c r="M22">
        <v>947</v>
      </c>
      <c r="O22">
        <v>8670</v>
      </c>
      <c r="P22" s="7">
        <f t="shared" si="0"/>
        <v>4.1324270827085233E-3</v>
      </c>
    </row>
    <row r="23" spans="1:17" x14ac:dyDescent="0.35">
      <c r="A23" t="s">
        <v>73</v>
      </c>
      <c r="L23">
        <v>376</v>
      </c>
      <c r="M23">
        <v>3551</v>
      </c>
      <c r="O23">
        <v>3927</v>
      </c>
      <c r="P23" s="7">
        <f t="shared" si="0"/>
        <v>5.9350366046539526E-4</v>
      </c>
    </row>
    <row r="24" spans="1:17" x14ac:dyDescent="0.35">
      <c r="A24" t="s">
        <v>74</v>
      </c>
      <c r="L24">
        <v>65</v>
      </c>
      <c r="M24">
        <v>600</v>
      </c>
      <c r="O24">
        <v>665</v>
      </c>
      <c r="P24" s="7">
        <f t="shared" si="0"/>
        <v>1.0260036683577312E-4</v>
      </c>
    </row>
    <row r="25" spans="1:17" x14ac:dyDescent="0.35">
      <c r="A25" t="s">
        <v>72</v>
      </c>
      <c r="L25">
        <v>116</v>
      </c>
      <c r="M25">
        <v>293</v>
      </c>
      <c r="O25">
        <v>409</v>
      </c>
      <c r="P25" s="7">
        <f t="shared" si="0"/>
        <v>1.831021931223028E-4</v>
      </c>
    </row>
    <row r="27" spans="1:17" x14ac:dyDescent="0.3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35">
      <c r="A29" s="1" t="s">
        <v>96</v>
      </c>
    </row>
    <row r="30" spans="1:17" x14ac:dyDescent="0.3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3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3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3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35">
      <c r="A34" t="s">
        <v>31</v>
      </c>
      <c r="C34">
        <v>192</v>
      </c>
      <c r="D34">
        <v>1005</v>
      </c>
      <c r="E34">
        <v>1184</v>
      </c>
      <c r="F34">
        <v>18</v>
      </c>
      <c r="G34">
        <v>0</v>
      </c>
      <c r="H34">
        <v>0</v>
      </c>
      <c r="I34">
        <v>1</v>
      </c>
      <c r="J34">
        <v>0</v>
      </c>
      <c r="K34">
        <v>0</v>
      </c>
      <c r="L34">
        <v>0</v>
      </c>
      <c r="M34">
        <v>199</v>
      </c>
      <c r="O34">
        <f t="shared" si="1"/>
        <v>2599</v>
      </c>
      <c r="Q34">
        <f t="shared" si="2"/>
        <v>0</v>
      </c>
    </row>
    <row r="35" spans="1:17" x14ac:dyDescent="0.3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3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35">
      <c r="A37" t="s">
        <v>83</v>
      </c>
      <c r="D37">
        <v>260</v>
      </c>
      <c r="E37">
        <v>1503</v>
      </c>
      <c r="F37">
        <v>3477</v>
      </c>
      <c r="G37">
        <v>3737</v>
      </c>
      <c r="H37">
        <v>3336</v>
      </c>
      <c r="I37">
        <v>1022</v>
      </c>
      <c r="J37">
        <v>604</v>
      </c>
      <c r="K37">
        <v>70</v>
      </c>
      <c r="L37">
        <v>0</v>
      </c>
      <c r="M37">
        <v>0</v>
      </c>
      <c r="O37">
        <f t="shared" si="1"/>
        <v>14009</v>
      </c>
      <c r="Q37">
        <f t="shared" si="2"/>
        <v>0</v>
      </c>
    </row>
    <row r="38" spans="1:17" x14ac:dyDescent="0.3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35">
      <c r="A39" t="s">
        <v>25</v>
      </c>
      <c r="G39">
        <v>0</v>
      </c>
      <c r="H39">
        <v>0</v>
      </c>
      <c r="I39">
        <v>0</v>
      </c>
      <c r="J39">
        <v>5369</v>
      </c>
      <c r="K39">
        <v>7202</v>
      </c>
      <c r="L39">
        <v>11076</v>
      </c>
      <c r="M39">
        <v>5530</v>
      </c>
      <c r="O39">
        <f t="shared" si="1"/>
        <v>29177</v>
      </c>
      <c r="Q39">
        <f t="shared" si="2"/>
        <v>2.4107294437213513E-2</v>
      </c>
    </row>
    <row r="40" spans="1:17" x14ac:dyDescent="0.35">
      <c r="A40" t="s">
        <v>27</v>
      </c>
      <c r="F40">
        <v>0</v>
      </c>
      <c r="G40">
        <v>0</v>
      </c>
      <c r="H40">
        <v>432</v>
      </c>
      <c r="I40">
        <v>474</v>
      </c>
      <c r="J40">
        <v>5244</v>
      </c>
      <c r="K40">
        <v>4556</v>
      </c>
      <c r="L40">
        <v>10855</v>
      </c>
      <c r="M40">
        <v>13030</v>
      </c>
      <c r="O40">
        <f t="shared" si="1"/>
        <v>34591</v>
      </c>
      <c r="Q40">
        <f t="shared" si="2"/>
        <v>2.3626280346330145E-2</v>
      </c>
    </row>
    <row r="41" spans="1:17" x14ac:dyDescent="0.35">
      <c r="A41" t="s">
        <v>28</v>
      </c>
      <c r="E41">
        <v>359</v>
      </c>
      <c r="F41">
        <v>1015</v>
      </c>
      <c r="G41">
        <v>1728</v>
      </c>
      <c r="H41">
        <v>2157</v>
      </c>
      <c r="I41">
        <v>996</v>
      </c>
      <c r="J41">
        <v>2528</v>
      </c>
      <c r="K41">
        <v>2848</v>
      </c>
      <c r="L41">
        <v>8717</v>
      </c>
      <c r="M41">
        <v>15261</v>
      </c>
      <c r="O41">
        <f t="shared" si="1"/>
        <v>35609</v>
      </c>
      <c r="Q41">
        <f t="shared" si="2"/>
        <v>1.8972849910544438E-2</v>
      </c>
    </row>
    <row r="42" spans="1:17" x14ac:dyDescent="0.35">
      <c r="A42" t="s">
        <v>84</v>
      </c>
      <c r="F42">
        <v>0</v>
      </c>
      <c r="G42">
        <v>0</v>
      </c>
      <c r="H42">
        <v>0</v>
      </c>
      <c r="I42">
        <v>0</v>
      </c>
      <c r="J42">
        <v>0</v>
      </c>
      <c r="K42">
        <v>135</v>
      </c>
      <c r="L42">
        <v>9863</v>
      </c>
      <c r="M42">
        <v>7331</v>
      </c>
      <c r="O42">
        <f t="shared" si="1"/>
        <v>17329</v>
      </c>
      <c r="Q42">
        <f t="shared" si="2"/>
        <v>2.146715827322471E-2</v>
      </c>
    </row>
    <row r="43" spans="1:17" x14ac:dyDescent="0.35">
      <c r="A43" t="s">
        <v>30</v>
      </c>
      <c r="D43">
        <v>0</v>
      </c>
      <c r="E43">
        <v>0</v>
      </c>
      <c r="F43">
        <v>0</v>
      </c>
      <c r="G43">
        <v>0</v>
      </c>
      <c r="H43">
        <v>0</v>
      </c>
      <c r="I43">
        <v>0</v>
      </c>
      <c r="J43">
        <v>130</v>
      </c>
      <c r="K43">
        <v>4414</v>
      </c>
      <c r="L43">
        <v>9419</v>
      </c>
      <c r="M43">
        <v>3895</v>
      </c>
      <c r="O43">
        <f t="shared" si="1"/>
        <v>17858</v>
      </c>
      <c r="Q43">
        <f t="shared" si="2"/>
        <v>2.0500777022762196E-2</v>
      </c>
    </row>
    <row r="44" spans="1:17" x14ac:dyDescent="0.35">
      <c r="A44" t="s">
        <v>85</v>
      </c>
      <c r="E44">
        <v>357</v>
      </c>
      <c r="F44">
        <v>4232</v>
      </c>
      <c r="G44">
        <v>3937</v>
      </c>
      <c r="H44">
        <v>3534</v>
      </c>
      <c r="I44">
        <v>1354</v>
      </c>
      <c r="J44">
        <v>4863</v>
      </c>
      <c r="K44">
        <v>767</v>
      </c>
      <c r="L44">
        <v>16775</v>
      </c>
      <c r="M44">
        <v>3820</v>
      </c>
      <c r="O44">
        <f t="shared" si="1"/>
        <v>39639</v>
      </c>
      <c r="Q44">
        <f t="shared" si="2"/>
        <v>3.6511363685830328E-2</v>
      </c>
    </row>
    <row r="45" spans="1:17" x14ac:dyDescent="0.35">
      <c r="A45" t="s">
        <v>86</v>
      </c>
      <c r="E45">
        <v>774</v>
      </c>
      <c r="F45">
        <v>1906</v>
      </c>
      <c r="G45">
        <v>632</v>
      </c>
      <c r="H45">
        <v>744</v>
      </c>
      <c r="I45">
        <v>135</v>
      </c>
      <c r="J45">
        <v>8</v>
      </c>
      <c r="K45">
        <v>0</v>
      </c>
      <c r="L45">
        <v>429</v>
      </c>
      <c r="M45">
        <v>3280</v>
      </c>
      <c r="O45">
        <f t="shared" si="1"/>
        <v>7908</v>
      </c>
      <c r="Q45">
        <f t="shared" si="2"/>
        <v>9.3373323524418542E-4</v>
      </c>
    </row>
    <row r="46" spans="1:17" x14ac:dyDescent="0.35">
      <c r="A46" t="s">
        <v>29</v>
      </c>
      <c r="B46">
        <v>76</v>
      </c>
      <c r="C46">
        <v>588</v>
      </c>
      <c r="D46">
        <v>1029</v>
      </c>
      <c r="E46">
        <v>196</v>
      </c>
      <c r="F46">
        <v>115</v>
      </c>
      <c r="G46">
        <v>94</v>
      </c>
      <c r="H46">
        <v>6</v>
      </c>
      <c r="I46">
        <v>0</v>
      </c>
      <c r="J46">
        <v>0</v>
      </c>
      <c r="K46">
        <v>0</v>
      </c>
      <c r="L46">
        <v>0</v>
      </c>
      <c r="M46">
        <v>0</v>
      </c>
      <c r="O46">
        <f t="shared" si="1"/>
        <v>2104</v>
      </c>
      <c r="Q46">
        <f t="shared" si="2"/>
        <v>0</v>
      </c>
    </row>
    <row r="47" spans="1:17" x14ac:dyDescent="0.3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35">
      <c r="A48" t="s">
        <v>88</v>
      </c>
      <c r="I48">
        <v>393</v>
      </c>
      <c r="J48">
        <v>2594</v>
      </c>
      <c r="K48">
        <v>1658</v>
      </c>
      <c r="L48">
        <v>1062</v>
      </c>
      <c r="M48">
        <v>251</v>
      </c>
      <c r="O48">
        <f t="shared" si="1"/>
        <v>5958</v>
      </c>
      <c r="Q48">
        <f t="shared" si="2"/>
        <v>2.3114794774576337E-3</v>
      </c>
    </row>
    <row r="49" spans="1:17" x14ac:dyDescent="0.35">
      <c r="A49" t="s">
        <v>32</v>
      </c>
      <c r="L49">
        <v>0</v>
      </c>
      <c r="M49">
        <v>0</v>
      </c>
      <c r="O49">
        <f t="shared" si="1"/>
        <v>0</v>
      </c>
      <c r="Q49">
        <f t="shared" si="2"/>
        <v>0</v>
      </c>
    </row>
    <row r="50" spans="1:17" x14ac:dyDescent="0.35">
      <c r="A50" t="s">
        <v>73</v>
      </c>
      <c r="L50">
        <v>376</v>
      </c>
      <c r="M50">
        <v>3551</v>
      </c>
      <c r="O50">
        <f t="shared" si="1"/>
        <v>3927</v>
      </c>
      <c r="Q50">
        <f t="shared" si="2"/>
        <v>8.1837691480609253E-4</v>
      </c>
    </row>
    <row r="51" spans="1:17" x14ac:dyDescent="0.35">
      <c r="A51" t="s">
        <v>74</v>
      </c>
      <c r="L51">
        <v>65</v>
      </c>
      <c r="M51">
        <v>600</v>
      </c>
      <c r="O51">
        <f t="shared" si="1"/>
        <v>665</v>
      </c>
      <c r="Q51">
        <f t="shared" si="2"/>
        <v>1.4147473261275537E-4</v>
      </c>
    </row>
    <row r="52" spans="1:17" x14ac:dyDescent="0.35">
      <c r="A52" t="s">
        <v>72</v>
      </c>
      <c r="L52">
        <v>116</v>
      </c>
      <c r="M52">
        <v>293</v>
      </c>
      <c r="O52">
        <f t="shared" si="1"/>
        <v>409</v>
      </c>
      <c r="Q52">
        <f t="shared" si="2"/>
        <v>2.5247798435507112E-4</v>
      </c>
    </row>
    <row r="54" spans="1:17" x14ac:dyDescent="0.3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35">
      <c r="A56" s="1" t="s">
        <v>98</v>
      </c>
    </row>
    <row r="57" spans="1:17" x14ac:dyDescent="0.3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3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3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3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3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3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3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3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3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3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3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3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3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3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3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3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3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3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3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3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3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3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3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3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tabSelected="1" workbookViewId="0">
      <selection activeCell="B2" sqref="B2"/>
    </sheetView>
  </sheetViews>
  <sheetFormatPr defaultRowHeight="14.5" x14ac:dyDescent="0.35"/>
  <cols>
    <col min="1" max="1" width="15.36328125" customWidth="1"/>
  </cols>
  <sheetData>
    <row r="1" spans="1:32" ht="43.5" x14ac:dyDescent="0.3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16</v>
      </c>
      <c r="B2" s="9">
        <f>Summary!C38</f>
        <v>7089.0804836407387</v>
      </c>
      <c r="C2" s="9">
        <f>Summary!D38</f>
        <v>7096.2738526461635</v>
      </c>
      <c r="D2" s="9">
        <f>Summary!E38</f>
        <v>4060.6060287258383</v>
      </c>
      <c r="E2" s="9">
        <f>Summary!F38</f>
        <v>1866.417433175201</v>
      </c>
      <c r="F2" s="9">
        <f>Summary!G38</f>
        <v>1282.0199650437494</v>
      </c>
      <c r="G2" s="9">
        <f>Summary!H38</f>
        <v>864.64370703529585</v>
      </c>
      <c r="H2" s="9">
        <f>Summary!I38</f>
        <v>744.07885409868288</v>
      </c>
      <c r="I2" s="9">
        <f>Summary!J38</f>
        <v>744.07885409868288</v>
      </c>
      <c r="J2" s="9">
        <f>Summary!K38</f>
        <v>744.07885409868288</v>
      </c>
      <c r="K2" s="9">
        <f>Summary!L38</f>
        <v>744.07885409868288</v>
      </c>
      <c r="L2" s="9">
        <f>Summary!M38</f>
        <v>744.07885409868288</v>
      </c>
      <c r="M2" s="9">
        <f>Summary!N38</f>
        <v>744.07885409868288</v>
      </c>
      <c r="N2" s="9">
        <f>Summary!O38</f>
        <v>688.80324193841125</v>
      </c>
      <c r="O2" s="9">
        <f>Summary!P38</f>
        <v>593.10047073749865</v>
      </c>
      <c r="P2" s="9">
        <f>Summary!Q38</f>
        <v>501.83121449637264</v>
      </c>
      <c r="Q2" s="9">
        <f>Summary!R38</f>
        <v>455.1789800326689</v>
      </c>
      <c r="R2" s="9">
        <f>Summary!S38</f>
        <v>446.53649235782615</v>
      </c>
      <c r="S2" s="9">
        <f>Summary!T38</f>
        <v>446.53649235782615</v>
      </c>
      <c r="T2" s="9">
        <f>Summary!U38</f>
        <v>446.53649235782615</v>
      </c>
      <c r="U2" s="9">
        <f>Summary!V38</f>
        <v>446.53649235782615</v>
      </c>
      <c r="V2" s="9">
        <f>Summary!W38</f>
        <v>446.53649235782615</v>
      </c>
      <c r="W2" s="9">
        <f>Summary!X38</f>
        <v>446.53649235782615</v>
      </c>
      <c r="X2" s="9">
        <f>Summary!Y38</f>
        <v>446.53649235782615</v>
      </c>
      <c r="Y2" s="9">
        <f>Summary!Z38</f>
        <v>446.53649235782615</v>
      </c>
      <c r="Z2" s="9">
        <f>Summary!AA38</f>
        <v>446.53649235782615</v>
      </c>
      <c r="AA2" s="9">
        <f>Summary!AB38</f>
        <v>446.53649235782615</v>
      </c>
      <c r="AB2" s="9">
        <f>Summary!AC38</f>
        <v>446.53649235782615</v>
      </c>
      <c r="AC2" s="9">
        <f>Summary!AD38</f>
        <v>446.53649235782615</v>
      </c>
      <c r="AD2" s="9">
        <f>Summary!AE38</f>
        <v>446.53649235782615</v>
      </c>
      <c r="AE2" s="9">
        <f>Summary!AF38</f>
        <v>444.67326947601924</v>
      </c>
      <c r="AF2" s="9">
        <f>Summary!AG38</f>
        <v>443.55533574693504</v>
      </c>
    </row>
    <row r="3" spans="1:32" x14ac:dyDescent="0.3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5" x14ac:dyDescent="0.35"/>
  <cols>
    <col min="1" max="1" width="16.81640625" customWidth="1"/>
  </cols>
  <sheetData>
    <row r="1" spans="1:32" ht="43.5" x14ac:dyDescent="0.3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Daniel O'Brien</cp:lastModifiedBy>
  <dcterms:created xsi:type="dcterms:W3CDTF">2017-06-20T00:56:40Z</dcterms:created>
  <dcterms:modified xsi:type="dcterms:W3CDTF">2023-02-07T21:12:56Z</dcterms:modified>
</cp:coreProperties>
</file>