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Y\trans\BVS\"/>
    </mc:Choice>
  </mc:AlternateContent>
  <xr:revisionPtr revIDLastSave="0" documentId="8_{CEA7F15C-315F-44CA-BF12-9557C20A6E7B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H64" i="2" l="1"/>
  <c r="H69" i="2" s="1"/>
  <c r="G6" i="5" s="1"/>
  <c r="I64" i="2"/>
  <c r="I69" i="2" s="1"/>
  <c r="H6" i="5" s="1"/>
  <c r="H63" i="2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N63" i="2"/>
  <c r="N68" i="2" s="1"/>
  <c r="M2" i="5" s="1"/>
  <c r="M8" i="5" s="1"/>
  <c r="Z64" i="2"/>
  <c r="Z69" i="2" s="1"/>
  <c r="Y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<sst xmlns="http://schemas.openxmlformats.org/spreadsheetml/2006/main" count="491" uniqueCount="240">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</sst>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100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NY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771.04663999999991</v>
      </c>
      <c r="D63" s="5">
        <f>SUMIFS('State EV Rebates'!$D$5:$D$24,'State EV Rebates'!$A$5:$A$24,About!$B$2)*$M$79</f>
        <v>450.31505400000003</v>
      </c>
      <c r="E63" s="5">
        <f>SUMIFS('State EV Rebates'!$E$5:$E$24,'State EV Rebates'!$A$5:$A$24,About!$B$2)*$N$79</f>
        <v>416.68715900000001</v>
      </c>
      <c r="F63" s="5">
        <f>SUMIFS('State EV Rebates'!$F$5:$F$24,'State EV Rebates'!$A$5:$A$24,About!$B$2)*$O$79</f>
        <v>257.634432</v>
      </c>
      <c r="G63" s="5">
        <f>SUMIFS('State EV Rebates'!$G$5:$G$24,'State EV Rebates'!$A$5:$A$24,About!$B$2)*$P$79</f>
        <v>250.98480000000001</v>
      </c>
      <c r="H63" s="5">
        <f>SUMIFS('State EV Rebates'!$H$5:$H$24,'State EV Rebates'!$A$5:$A$24,About!$B$2)*$Q$79</f>
        <v>1370.3019999999999</v>
      </c>
      <c r="I63" s="5">
        <f>SUMIFS('State EV Rebates'!$I$5:$I$24,'State EV Rebates'!$A$5:$A$24,About!$B$2)*$R$79</f>
        <v>1332.9780000000001</v>
      </c>
      <c r="J63" s="5">
        <f>SUMIFS('State EV Rebates'!$J$5:$J$24,'State EV Rebates'!$A$5:$A$24,About!$B$2)*$S$79</f>
        <v>1296.6679999999999</v>
      </c>
      <c r="K63" s="5">
        <f>SUMIFS('State EV Rebates'!$K$5:$K$24,'State EV Rebates'!$A$5:$A$24,About!$B$2)*$T$79</f>
        <v>1261.3499999999999</v>
      </c>
      <c r="L63" s="5">
        <f>SUMIFS('State EV Rebates'!$L$5:$L$24,'State EV Rebates'!$A$5:$A$24,About!$B$2)*$U$79</f>
        <v>1226.9939999999999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589.72358399999996</v>
      </c>
      <c r="D64" s="5">
        <f>SUMIFS('State EV Rebates'!$D$28:$D$47,'State EV Rebates'!$A$28:$A$47,About!$B$2)*$M$79</f>
        <v>276.93591300000003</v>
      </c>
      <c r="E64" s="5">
        <f>SUMIFS('State EV Rebates'!$E$28:$E$47,'State EV Rebates'!$A$28:$A$47,About!$B$2)*$N$79</f>
        <v>215.501858</v>
      </c>
      <c r="F64" s="5">
        <f>SUMIFS('State EV Rebates'!$F$28:$F$47,'State EV Rebates'!$A$28:$A$47,About!$B$2)*$O$79</f>
        <v>158.09385600000002</v>
      </c>
      <c r="G64" s="5">
        <f>SUMIFS('State EV Rebates'!$G$28:$G$47,'State EV Rebates'!$A$28:$A$47,About!$B$2)*$P$79</f>
        <v>154.01339999999999</v>
      </c>
      <c r="H64" s="5">
        <f>SUMIFS('State EV Rebates'!$H$28:$H$47,'State EV Rebates'!$A$28:$A$47,About!$B$2)*$Q$79</f>
        <v>685.15099999999995</v>
      </c>
      <c r="I64" s="5">
        <f>SUMIFS('State EV Rebates'!$I$28:$I$47,'State EV Rebates'!$A$28:$A$47,About!$B$2)*$R$79</f>
        <v>666.48900000000003</v>
      </c>
      <c r="J64" s="5">
        <f>SUMIFS('State EV Rebates'!$J$28:$J$47,'State EV Rebates'!$A$28:$A$47,About!$B$2)*$S$79</f>
        <v>648.33399999999995</v>
      </c>
      <c r="K64" s="5">
        <f>SUMIFS('State EV Rebates'!$K$28:$K$47,'State EV Rebates'!$A$28:$A$47,About!$B$2)*$T$79</f>
        <v>630.67499999999995</v>
      </c>
      <c r="L64" s="5">
        <f>SUMIFS('State EV Rebates'!$L$28:$L$47,'State EV Rebates'!$A$28:$A$47,About!$B$2)*$U$79</f>
        <v>613.49699999999996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2417.5447524797287</v>
      </c>
      <c r="D68" s="5">
        <f t="shared" si="0"/>
        <v>1818.9008110401332</v>
      </c>
      <c r="E68" s="5">
        <f t="shared" si="0"/>
        <v>5212.6508156176633</v>
      </c>
      <c r="F68" s="5">
        <f t="shared" si="0"/>
        <v>3813.1221338516089</v>
      </c>
      <c r="G68" s="5">
        <f t="shared" si="0"/>
        <v>2775.2505550587362</v>
      </c>
      <c r="H68" s="5">
        <f t="shared" si="0"/>
        <v>1370.3019999999999</v>
      </c>
      <c r="I68" s="5">
        <f t="shared" si="0"/>
        <v>1332.9780000000001</v>
      </c>
      <c r="J68" s="5">
        <f t="shared" si="0"/>
        <v>1296.6679999999999</v>
      </c>
      <c r="K68" s="5">
        <f t="shared" si="0"/>
        <v>1261.3499999999999</v>
      </c>
      <c r="L68" s="5">
        <f t="shared" si="0"/>
        <v>1226.9939999999999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7242.4421008992285</v>
      </c>
      <c r="D69" s="5">
        <f t="shared" si="1"/>
        <v>3893.9866059789028</v>
      </c>
      <c r="E69" s="5">
        <f t="shared" si="1"/>
        <v>3696.7001802883342</v>
      </c>
      <c r="F69" s="5">
        <f t="shared" si="1"/>
        <v>3004.6161945773729</v>
      </c>
      <c r="G69" s="5">
        <f t="shared" si="1"/>
        <v>1951.1758892476912</v>
      </c>
      <c r="H69" s="5">
        <f t="shared" si="1"/>
        <v>685.15099999999995</v>
      </c>
      <c r="I69" s="5">
        <f t="shared" si="1"/>
        <v>666.48900000000003</v>
      </c>
      <c r="J69" s="5">
        <f t="shared" si="1"/>
        <v>648.33399999999995</v>
      </c>
      <c r="K69" s="5">
        <f t="shared" si="1"/>
        <v>630.67499999999995</v>
      </c>
      <c r="L69" s="5">
        <f t="shared" si="1"/>
        <v>613.49699999999996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2417.5447524797287</v>
      </c>
      <c r="C2" s="17">
        <f>'Passenger Vehicle Calculations'!D68</f>
        <v>1818.9008110401332</v>
      </c>
      <c r="D2" s="17">
        <f>'Passenger Vehicle Calculations'!E68</f>
        <v>5212.6508156176633</v>
      </c>
      <c r="E2" s="17">
        <f>'Passenger Vehicle Calculations'!F68</f>
        <v>3813.1221338516089</v>
      </c>
      <c r="F2" s="17">
        <f>'Passenger Vehicle Calculations'!G68</f>
        <v>2775.2505550587362</v>
      </c>
      <c r="G2" s="17">
        <f>'Passenger Vehicle Calculations'!H68</f>
        <v>1370.3019999999999</v>
      </c>
      <c r="H2" s="17">
        <f>'Passenger Vehicle Calculations'!I68</f>
        <v>1332.9780000000001</v>
      </c>
      <c r="I2" s="17">
        <f>'Passenger Vehicle Calculations'!J68</f>
        <v>1296.6679999999999</v>
      </c>
      <c r="J2" s="17">
        <f>'Passenger Vehicle Calculations'!K68</f>
        <v>1261.3499999999999</v>
      </c>
      <c r="K2" s="17">
        <f>'Passenger Vehicle Calculations'!L68</f>
        <v>1226.9939999999999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7242.4421008992285</v>
      </c>
      <c r="C6" s="17">
        <f>'Passenger Vehicle Calculations'!D69</f>
        <v>3893.9866059789028</v>
      </c>
      <c r="D6" s="17">
        <f>'Passenger Vehicle Calculations'!E69</f>
        <v>3696.7001802883342</v>
      </c>
      <c r="E6" s="17">
        <f>'Passenger Vehicle Calculations'!F69</f>
        <v>3004.6161945773729</v>
      </c>
      <c r="F6" s="17">
        <f>'Passenger Vehicle Calculations'!G69</f>
        <v>1951.1758892476912</v>
      </c>
      <c r="G6" s="17">
        <f>'Passenger Vehicle Calculations'!H69</f>
        <v>685.15099999999995</v>
      </c>
      <c r="H6" s="17">
        <f>'Passenger Vehicle Calculations'!I69</f>
        <v>666.48900000000003</v>
      </c>
      <c r="I6" s="17">
        <f>'Passenger Vehicle Calculations'!J69</f>
        <v>648.33399999999995</v>
      </c>
      <c r="J6" s="17">
        <f>'Passenger Vehicle Calculations'!K69</f>
        <v>630.67499999999995</v>
      </c>
      <c r="K6" s="17">
        <f>'Passenger Vehicle Calculations'!L69</f>
        <v>613.49699999999996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5212.6508156176633</v>
      </c>
      <c r="E8" s="17">
        <f t="shared" si="0"/>
        <v>3813.1221338516089</v>
      </c>
      <c r="F8" s="17">
        <f t="shared" si="0"/>
        <v>2775.2505550587362</v>
      </c>
      <c r="G8" s="17">
        <f t="shared" si="0"/>
        <v>1370.3019999999999</v>
      </c>
      <c r="H8" s="17">
        <f t="shared" si="0"/>
        <v>1332.9780000000001</v>
      </c>
      <c r="I8" s="17">
        <f t="shared" si="0"/>
        <v>1296.6679999999999</v>
      </c>
      <c r="J8" s="17">
        <f t="shared" si="0"/>
        <v>1261.3499999999999</v>
      </c>
      <c r="K8" s="17">
        <f t="shared" si="0"/>
        <v>1226.9939999999999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2026-09-01T23:00:57Z</dcterms:modified>
</cp:coreProperties>
</file>