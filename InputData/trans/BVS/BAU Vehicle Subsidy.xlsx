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Y\trans\BVS\"/>
    </mc:Choice>
  </mc:AlternateContent>
  <xr:revisionPtr revIDLastSave="0" documentId="8_{5A827F6F-7B36-4E71-B02A-55023AD9E1AA}" xr6:coauthVersionLast="47" xr6:coauthVersionMax="47" xr10:uidLastSave="{00000000-0000-0000-0000-000000000000}"/>
  <bookViews>
    <workbookView xWindow="-120" yWindow="-120" windowWidth="29040" windowHeight="15720" firstSheet="6" activeTab="13" xr2:uid="{00000000-000D-0000-FFFF-FFFF00000000}"/>
  </bookViews>
  <sheets>
    <sheet name="About" sheetId="1" r:id="rId1"/>
    <sheet name="Passenger Vehicle Calculations" sheetId="2" r:id="rId2"/>
    <sheet name="State EV Rebates" sheetId="18" r:id="rId3"/>
    <sheet name="Commercial Vehicles" sheetId="3" r:id="rId4"/>
    <sheet name="psgr" sheetId="4" r:id="rId5"/>
    <sheet name="BVS-psgr-LDVs" sheetId="5" r:id="rId6"/>
    <sheet name="BVS-psgr-HDVs" sheetId="6" r:id="rId7"/>
    <sheet name="BVS-psgr-aircraft" sheetId="7" r:id="rId8"/>
    <sheet name="BVS-psgr-rail" sheetId="8" r:id="rId9"/>
    <sheet name="BVS-psgr-ships" sheetId="9" r:id="rId10"/>
    <sheet name="BVS-psgr-motorbikes" sheetId="10" r:id="rId11"/>
    <sheet name="frgt" sheetId="11" r:id="rId12"/>
    <sheet name="BVS-frgt-LDVs" sheetId="12" r:id="rId13"/>
    <sheet name="BVS-frgt-HDVs" sheetId="13" r:id="rId14"/>
    <sheet name="BVS-frgt-aircraft" sheetId="14" r:id="rId15"/>
    <sheet name="BVS-frgt-rail" sheetId="15" r:id="rId16"/>
    <sheet name="BVS-frgt-ships" sheetId="16" r:id="rId17"/>
    <sheet name="BVS-frgt-motorbikes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3" l="1"/>
  <c r="K8" i="3" s="1"/>
  <c r="K14" i="3"/>
  <c r="J8" i="3" s="1"/>
  <c r="J14" i="3"/>
  <c r="I14" i="3"/>
  <c r="H14" i="3"/>
  <c r="G14" i="3"/>
  <c r="B14" i="3" a="1"/>
  <c r="F14" i="3" s="1"/>
  <c r="I9" i="3"/>
  <c r="H9" i="3"/>
  <c r="G9" i="3"/>
  <c r="F9" i="3"/>
  <c r="F8" i="3"/>
  <c r="E8" i="3"/>
  <c r="B2" i="1"/>
  <c r="AF64" i="2" s="1"/>
  <c r="AF69" i="2" s="1"/>
  <c r="AE6" i="5" s="1"/>
  <c r="F107" i="2"/>
  <c r="F106" i="2"/>
  <c r="F105" i="2"/>
  <c r="F104" i="2"/>
  <c r="F103" i="2"/>
  <c r="F102" i="2"/>
  <c r="F101" i="2"/>
  <c r="F100" i="2"/>
  <c r="F99" i="2"/>
  <c r="F98" i="2"/>
  <c r="F97" i="2"/>
  <c r="D97" i="2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I76" i="2"/>
  <c r="J76" i="2" s="1"/>
  <c r="L63" i="2" l="1"/>
  <c r="L68" i="2" s="1"/>
  <c r="K2" i="5" s="1"/>
  <c r="K8" i="5" s="1"/>
  <c r="M63" i="2"/>
  <c r="M68" i="2" s="1"/>
  <c r="L2" i="5" s="1"/>
  <c r="L8" i="5" s="1"/>
  <c r="Z64" i="2"/>
  <c r="Z69" i="2" s="1"/>
  <c r="Y6" i="5" s="1"/>
  <c r="AB64" i="2"/>
  <c r="AB69" i="2" s="1"/>
  <c r="AA6" i="5" s="1"/>
  <c r="AC64" i="2"/>
  <c r="AC69" i="2" s="1"/>
  <c r="AB6" i="5" s="1"/>
  <c r="AF63" i="2"/>
  <c r="AF68" i="2" s="1"/>
  <c r="AE2" i="5" s="1"/>
  <c r="AE8" i="5" s="1"/>
  <c r="D64" i="2"/>
  <c r="D69" i="2" s="1"/>
  <c r="C6" i="5" s="1"/>
  <c r="X64" i="2"/>
  <c r="X69" i="2" s="1"/>
  <c r="W6" i="5" s="1"/>
  <c r="Y64" i="2"/>
  <c r="Y69" i="2" s="1"/>
  <c r="X6" i="5" s="1"/>
  <c r="N63" i="2"/>
  <c r="N68" i="2" s="1"/>
  <c r="M2" i="5" s="1"/>
  <c r="M8" i="5" s="1"/>
  <c r="O63" i="2"/>
  <c r="O68" i="2" s="1"/>
  <c r="N2" i="5" s="1"/>
  <c r="N8" i="5" s="1"/>
  <c r="AA64" i="2"/>
  <c r="AA69" i="2" s="1"/>
  <c r="Z6" i="5" s="1"/>
  <c r="P63" i="2"/>
  <c r="P68" i="2" s="1"/>
  <c r="O2" i="5" s="1"/>
  <c r="O8" i="5" s="1"/>
  <c r="Q63" i="2"/>
  <c r="Q68" i="2" s="1"/>
  <c r="P2" i="5" s="1"/>
  <c r="P8" i="5" s="1"/>
  <c r="R63" i="2"/>
  <c r="R68" i="2" s="1"/>
  <c r="Q2" i="5" s="1"/>
  <c r="Q8" i="5" s="1"/>
  <c r="AD64" i="2"/>
  <c r="AD69" i="2" s="1"/>
  <c r="AC6" i="5" s="1"/>
  <c r="S63" i="2"/>
  <c r="S68" i="2" s="1"/>
  <c r="R2" i="5" s="1"/>
  <c r="R8" i="5" s="1"/>
  <c r="AE64" i="2"/>
  <c r="AE69" i="2" s="1"/>
  <c r="AD6" i="5" s="1"/>
  <c r="T63" i="2"/>
  <c r="T68" i="2" s="1"/>
  <c r="S2" i="5" s="1"/>
  <c r="S8" i="5" s="1"/>
  <c r="AD63" i="2"/>
  <c r="AD68" i="2" s="1"/>
  <c r="AC2" i="5" s="1"/>
  <c r="AC8" i="5" s="1"/>
  <c r="C64" i="2"/>
  <c r="C69" i="2" s="1"/>
  <c r="B6" i="5" s="1"/>
  <c r="E64" i="2"/>
  <c r="E69" i="2" s="1"/>
  <c r="D6" i="5" s="1"/>
  <c r="F64" i="2"/>
  <c r="F69" i="2" s="1"/>
  <c r="E6" i="5" s="1"/>
  <c r="G64" i="2"/>
  <c r="G69" i="2" s="1"/>
  <c r="F6" i="5" s="1"/>
  <c r="H64" i="2"/>
  <c r="H69" i="2" s="1"/>
  <c r="G6" i="5" s="1"/>
  <c r="I64" i="2"/>
  <c r="I69" i="2" s="1"/>
  <c r="H6" i="5" s="1"/>
  <c r="H63" i="2"/>
  <c r="H68" i="2" s="1"/>
  <c r="G2" i="5" s="1"/>
  <c r="G8" i="5" s="1"/>
  <c r="J64" i="2"/>
  <c r="J69" i="2" s="1"/>
  <c r="I6" i="5" s="1"/>
  <c r="I63" i="2"/>
  <c r="I68" i="2" s="1"/>
  <c r="H2" i="5" s="1"/>
  <c r="H8" i="5" s="1"/>
  <c r="L64" i="2"/>
  <c r="L69" i="2" s="1"/>
  <c r="K6" i="5" s="1"/>
  <c r="J63" i="2"/>
  <c r="J68" i="2" s="1"/>
  <c r="I2" i="5" s="1"/>
  <c r="I8" i="5" s="1"/>
  <c r="V64" i="2"/>
  <c r="V69" i="2" s="1"/>
  <c r="U6" i="5" s="1"/>
  <c r="K63" i="2"/>
  <c r="K68" i="2" s="1"/>
  <c r="J2" i="5" s="1"/>
  <c r="J8" i="5" s="1"/>
  <c r="W64" i="2"/>
  <c r="W69" i="2" s="1"/>
  <c r="V6" i="5" s="1"/>
  <c r="J9" i="3"/>
  <c r="K9" i="3"/>
  <c r="AE63" i="2"/>
  <c r="AE68" i="2" s="1"/>
  <c r="AD2" i="5" s="1"/>
  <c r="AD8" i="5" s="1"/>
  <c r="E9" i="3"/>
  <c r="G8" i="3"/>
  <c r="U64" i="2"/>
  <c r="U69" i="2" s="1"/>
  <c r="T6" i="5" s="1"/>
  <c r="AC63" i="2"/>
  <c r="AC68" i="2" s="1"/>
  <c r="AB2" i="5" s="1"/>
  <c r="AB8" i="5" s="1"/>
  <c r="G63" i="2"/>
  <c r="G68" i="2" s="1"/>
  <c r="F2" i="5" s="1"/>
  <c r="F8" i="5" s="1"/>
  <c r="T64" i="2"/>
  <c r="T69" i="2" s="1"/>
  <c r="S6" i="5" s="1"/>
  <c r="AB63" i="2"/>
  <c r="AB68" i="2" s="1"/>
  <c r="AA2" i="5" s="1"/>
  <c r="AA8" i="5" s="1"/>
  <c r="F63" i="2"/>
  <c r="F68" i="2" s="1"/>
  <c r="E2" i="5" s="1"/>
  <c r="E8" i="5" s="1"/>
  <c r="P64" i="2"/>
  <c r="P69" i="2" s="1"/>
  <c r="O6" i="5" s="1"/>
  <c r="X63" i="2"/>
  <c r="X68" i="2" s="1"/>
  <c r="W2" i="5" s="1"/>
  <c r="W8" i="5" s="1"/>
  <c r="S64" i="2"/>
  <c r="S69" i="2" s="1"/>
  <c r="R6" i="5" s="1"/>
  <c r="AA63" i="2"/>
  <c r="AA68" i="2" s="1"/>
  <c r="Z2" i="5" s="1"/>
  <c r="Z8" i="5" s="1"/>
  <c r="E63" i="2"/>
  <c r="E68" i="2" s="1"/>
  <c r="D2" i="5" s="1"/>
  <c r="D8" i="5" s="1"/>
  <c r="R64" i="2"/>
  <c r="R69" i="2" s="1"/>
  <c r="Q6" i="5" s="1"/>
  <c r="Z63" i="2"/>
  <c r="Z68" i="2" s="1"/>
  <c r="Y2" i="5" s="1"/>
  <c r="Y8" i="5" s="1"/>
  <c r="D63" i="2"/>
  <c r="D68" i="2" s="1"/>
  <c r="C2" i="5" s="1"/>
  <c r="Q64" i="2"/>
  <c r="Q69" i="2" s="1"/>
  <c r="P6" i="5" s="1"/>
  <c r="Y63" i="2"/>
  <c r="Y68" i="2" s="1"/>
  <c r="X2" i="5" s="1"/>
  <c r="X8" i="5" s="1"/>
  <c r="C63" i="2"/>
  <c r="C68" i="2" s="1"/>
  <c r="B2" i="5" s="1"/>
  <c r="O64" i="2"/>
  <c r="O69" i="2" s="1"/>
  <c r="N6" i="5" s="1"/>
  <c r="W63" i="2"/>
  <c r="W68" i="2" s="1"/>
  <c r="V2" i="5" s="1"/>
  <c r="V8" i="5" s="1"/>
  <c r="N64" i="2"/>
  <c r="N69" i="2" s="1"/>
  <c r="M6" i="5" s="1"/>
  <c r="V63" i="2"/>
  <c r="V68" i="2" s="1"/>
  <c r="U2" i="5" s="1"/>
  <c r="U8" i="5" s="1"/>
  <c r="M64" i="2"/>
  <c r="M69" i="2" s="1"/>
  <c r="L6" i="5" s="1"/>
  <c r="U63" i="2"/>
  <c r="U68" i="2" s="1"/>
  <c r="T2" i="5" s="1"/>
  <c r="T8" i="5" s="1"/>
  <c r="H8" i="3"/>
  <c r="K64" i="2"/>
  <c r="K69" i="2" s="1"/>
  <c r="J6" i="5" s="1"/>
  <c r="I8" i="3"/>
  <c r="C14" i="3"/>
  <c r="D14" i="3"/>
  <c r="B14" i="3"/>
  <c r="E14" i="3"/>
  <c r="D2" i="6" l="1"/>
  <c r="D2" i="13"/>
  <c r="B9" i="3"/>
  <c r="B8" i="3"/>
  <c r="D9" i="3"/>
  <c r="F2" i="13"/>
  <c r="D8" i="3"/>
  <c r="F2" i="6"/>
  <c r="D25" i="3"/>
  <c r="D23" i="3"/>
  <c r="E2" i="6"/>
  <c r="C9" i="3"/>
  <c r="E2" i="13"/>
  <c r="C8" i="3"/>
  <c r="E8" i="13" l="1"/>
  <c r="E6" i="13"/>
  <c r="E8" i="6"/>
  <c r="E6" i="6"/>
  <c r="F36" i="3"/>
  <c r="E10" i="3" s="1"/>
  <c r="G2" i="12" s="1"/>
  <c r="D24" i="3"/>
  <c r="H36" i="3" s="1"/>
  <c r="G10" i="3" s="1"/>
  <c r="I2" i="12" s="1"/>
  <c r="C36" i="3"/>
  <c r="B10" i="3" s="1"/>
  <c r="D2" i="12" s="1"/>
  <c r="E36" i="3"/>
  <c r="D10" i="3" s="1"/>
  <c r="F2" i="12" s="1"/>
  <c r="D36" i="3"/>
  <c r="C10" i="3" s="1"/>
  <c r="E2" i="12" s="1"/>
  <c r="B36" i="3"/>
  <c r="F8" i="6"/>
  <c r="F6" i="6"/>
  <c r="F8" i="13"/>
  <c r="F6" i="13"/>
  <c r="D8" i="13"/>
  <c r="D6" i="13"/>
  <c r="D8" i="6"/>
  <c r="D6" i="6"/>
  <c r="I6" i="12" l="1"/>
  <c r="I8" i="12"/>
  <c r="E6" i="12"/>
  <c r="E8" i="12"/>
  <c r="G6" i="12"/>
  <c r="G8" i="12"/>
  <c r="D6" i="12"/>
  <c r="D8" i="12"/>
  <c r="G36" i="3"/>
  <c r="F10" i="3" s="1"/>
  <c r="H2" i="12" s="1"/>
  <c r="I36" i="3"/>
  <c r="H10" i="3" s="1"/>
  <c r="J2" i="12" s="1"/>
  <c r="K36" i="3"/>
  <c r="J10" i="3" s="1"/>
  <c r="L2" i="12" s="1"/>
  <c r="L36" i="3"/>
  <c r="K10" i="3" s="1"/>
  <c r="M2" i="12" s="1"/>
  <c r="J36" i="3"/>
  <c r="I10" i="3" s="1"/>
  <c r="K2" i="12" s="1"/>
  <c r="F6" i="12"/>
  <c r="F8" i="12"/>
  <c r="K6" i="12" l="1"/>
  <c r="K8" i="12"/>
  <c r="M8" i="12"/>
  <c r="M6" i="12"/>
  <c r="L6" i="12"/>
  <c r="L8" i="12"/>
  <c r="J6" i="12"/>
  <c r="J8" i="12"/>
  <c r="H6" i="12"/>
  <c r="H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O'Brien</author>
  </authors>
  <commentList>
    <comment ref="K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Daniel O'Brien:
Where data is available, we take the total ev subsidy spend and divide by the total sales of EVs in the state</t>
        </r>
      </text>
    </comment>
    <comment ref="I1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Daniel O'Brien:
BEV standard rebate reduced to 1500 on 1/1/25
</t>
        </r>
      </text>
    </comment>
  </commentList>
</comments>
</file>

<file path=xl/sharedStrings.xml><?xml version="1.0" encoding="utf-8"?>
<sst xmlns="http://schemas.openxmlformats.org/spreadsheetml/2006/main" count="491" uniqueCount="240">
  <si>
    <t>Federal EV Subsidy Amount (2012$)</t>
  </si>
  <si>
    <t>These values come from our internal analysis of weighted 30D and 45W purchase and leasing credits. (ICCT spreadsheet)</t>
  </si>
  <si>
    <t>Updated 2/11/25</t>
  </si>
  <si>
    <t>battery electric vehicles</t>
  </si>
  <si>
    <t>plugin hybrid vehicles</t>
  </si>
  <si>
    <t>OBBBA federal-credit availability factor (1=full, 0.75=2025 partial, 0 from 2026)</t>
  </si>
  <si>
    <t>https://www.energysage.com/electric-vehicles/costs-and-benefits-evs/ev-tax-credits/</t>
  </si>
  <si>
    <t>https://www.tesla.com/support/incentives</t>
  </si>
  <si>
    <t>https://afdc.energy.gov/laws/11609</t>
  </si>
  <si>
    <t>State subsidy (2012$) = active state rebate (SUMIFS by About!B2 into State EV Rebates tab) x CPI deflator</t>
  </si>
  <si>
    <t>Total Tax Credit (2012$)</t>
  </si>
  <si>
    <t>US average share of EVs leased vs purchased</t>
  </si>
  <si>
    <t>https://www.experian.com/blogs/ask-experian/electric-vehicle-trends/</t>
  </si>
  <si>
    <t>Inflation adjuster</t>
  </si>
  <si>
    <t>Inflation Historical Data and Assumptions</t>
  </si>
  <si>
    <t>Future inflation assumption: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</si>
  <si>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</si>
  <si>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</si>
  <si>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</si>
  <si>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</si>
  <si>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</si>
  <si>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</si>
  <si>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</si>
  <si>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</si>
  <si>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</si>
  <si>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</si>
  <si>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</si>
  <si>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</si>
  <si>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</si>
  <si>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BVS BAU Vehicle Subsidy (rebuilt 2026-06)</t>
  </si>
  <si>
    <t>Alabama</t>
  </si>
  <si>
    <t>State</t>
  </si>
  <si>
    <t>AL</t>
  </si>
  <si>
    <t>Sources:</t>
  </si>
  <si>
    <t>Federal: IRA clean-vehicle credits (30D new / 25E used / 45W commercial), TERMINATED by OBBBA (P.L.119-21) for vehicles acquired after 2025-09-30. Federal values = ICCT/Energy Innovation weighted-credit analysis.</t>
  </si>
  <si>
    <t>Alaska</t>
  </si>
  <si>
    <t>AK</t>
  </si>
  <si>
    <t>IRS OBBBA FAQ: https://www.irs.gov/newsroom/one-big-beautiful-bill-provisions</t>
  </si>
  <si>
    <t>Arizona</t>
  </si>
  <si>
    <t>AZ</t>
  </si>
  <si>
    <t>ICCT / Energy Innovation IRA EV analysis: https://energyinnovation.org/publication/analyzing-the-impact-of-the-inflation-reduction-act-on-electric-vehicle-uptake-in-the-united-states/</t>
  </si>
  <si>
    <t>Arkansas</t>
  </si>
  <si>
    <t>AR</t>
  </si>
  <si>
    <t>California</t>
  </si>
  <si>
    <t>CA</t>
  </si>
  <si>
    <t>State EV purchase rebates/credits: see the State EV Rebates tab (per-state amounts, status, and primary-source URL). Compiled from state agency pages + U.S. DOE AFDC (afdc.energy.gov/laws/state); current as of mid-2026.</t>
  </si>
  <si>
    <t>Colorado</t>
  </si>
  <si>
    <t>CO</t>
  </si>
  <si>
    <t>CPI-U deflators to 2012$ (CPI_2012=229.594): BLS, actuals through 2024; 2025=322.0, 2026=335.1 (May 2026), ~2.8%/yr after. https://www.bls.gov/cpi/</t>
  </si>
  <si>
    <t>Connecticut</t>
  </si>
  <si>
    <t>CT</t>
  </si>
  <si>
    <t>Delaware</t>
  </si>
  <si>
    <t>DE</t>
  </si>
  <si>
    <t>All values in 2012 USD. BAU assumptions (flag for staff review): state programs held at current amount through 2030 then $0; suspended/exhausted-but-ongoing programs (OR, VT, MD) valued at standard amount; income-only programs (ME, WA) = $0.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</si>
  <si>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</si>
  <si>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</si>
  <si>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</si>
  <si>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</si>
  <si>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</si>
  <si>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</si>
  <si>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</si>
  <si>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</si>
  <si>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</si>
  <si>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</si>
  <si>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</si>
  <si>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</si>
  <si>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</si>
  <si>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</si>
  <si>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</si>
  <si>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</si>
  <si>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</si>
  <si>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</si>
  <si>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</si>
  <si>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</si>
  <si>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</si>
  <si>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</si>
  <si>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</si>
  <si>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</si>
  <si>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</si>
  <si>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</si>
  <si>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</si>
  <si>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</si>
  <si>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</si>
  <si>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</si>
  <si>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</si>
  <si>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</si>
  <si>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</si>
  <si>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</si>
  <si>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</si>
  <si>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</si>
  <si>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</si>
  <si>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</si>
  <si>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</si>
  <si>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</si>
  <si>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</si>
  <si>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</si>
  <si>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</si>
  <si>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</si>
  <si>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</si>
  <si>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</si>
  <si>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</si>
  <si>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</si>
  <si>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</si>
  <si>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</si>
  <si>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</si>
  <si>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</si>
  <si>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</si>
  <si>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</si>
  <si>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</si>
  <si>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</si>
  <si>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</si>
  <si>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</si>
  <si>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</si>
  <si>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</si>
  <si>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</si>
  <si>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</si>
  <si>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</si>
  <si>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</si>
  <si>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</si>
  <si>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</si>
  <si>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</si>
  <si>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</si>
  <si>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</si>
  <si>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</si>
  <si>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</si>
  <si>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</si>
  <si>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</si>
  <si>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</si>
  <si>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</si>
  <si>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</si>
  <si>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</si>
  <si>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</si>
  <si>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</si>
  <si>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</si>
  <si>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</si>
  <si>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</si>
  <si>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</si>
  <si>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</si>
  <si>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Methodology:</t>
  </si>
  <si>
    <t>For commercial vehicle credits, we find that the credit caps of $7,500 for vehicles under 14,000 pounds or $40,000 for vehicles over 14,000 pounds apply in all years. We apply the credit to all new sales of commercial trucks, using a weighted average credit value for our freight LDV category which covers both light and medium duty trucks. We also apply the credit to a fraction of buses, excluding buses purchased by the government. The credit runs from 2023-2032.</t>
  </si>
  <si>
    <t>OBBBA (P.L.119-21): Section 45W commercial credit terminated for vehicles acquired after 2025-09-30; applied via row 6 factor (2025 = 9/12, 0 from 2026).</t>
  </si>
  <si>
    <t>Commercial Vehicle Credit (2022 $)</t>
  </si>
  <si>
    <t>Passenger Vehicle Credit (2022 $)</t>
  </si>
  <si>
    <t>OBBBA availability factor (1=full, 0.75=2025, 0 from 2026)</t>
  </si>
  <si>
    <t>Psgr HDV (2012 $)</t>
  </si>
  <si>
    <t>Freight HDV (2012 $)</t>
  </si>
  <si>
    <t>Frgt LDV (2012 $)</t>
  </si>
  <si>
    <t>Calculations:</t>
  </si>
  <si>
    <t>Conversion to 2012$</t>
  </si>
  <si>
    <t>Fraction of buses owned by private entities (see trans/FoVObE)</t>
  </si>
  <si>
    <t>The credit caps are $7,500 for vehicles under 14,000 lbs and $40,000 for vehicles over 14,000 lbs (class 4 and above). We need to calculate</t>
  </si>
  <si>
    <t>a weighted average credit for our freight LDV category, which includes vehicle classes 2b-6.</t>
  </si>
  <si>
    <t>AEO classifications (see AEO table footnotes)</t>
  </si>
  <si>
    <t>Class</t>
  </si>
  <si>
    <t>Weight</t>
  </si>
  <si>
    <t>Credit Amount (2012 $)</t>
  </si>
  <si>
    <t>Commercial light trucks</t>
  </si>
  <si>
    <t>2b</t>
  </si>
  <si>
    <t>8,501-10,000 lbs</t>
  </si>
  <si>
    <t>Light Medium trucks</t>
  </si>
  <si>
    <t>10,001-14,000 lbs</t>
  </si>
  <si>
    <t>Medium trucks</t>
  </si>
  <si>
    <t>14,001-26,000 lbs</t>
  </si>
  <si>
    <t>Weighted Average calculated relative to AEO sales</t>
  </si>
  <si>
    <t>Source: EIA AEO 2023, Tables 44 and 49</t>
  </si>
  <si>
    <t>Note (2026-06): row-14 deflators synced to US national BVS full precision. Commercial 45W credit ends after 2025 per OBBBA (row 6 factor); US national file is pre-OBBBA and was NOT adopted for the credit window.</t>
  </si>
  <si>
    <t>Sales (thousands)</t>
  </si>
  <si>
    <t>AEO 2023</t>
  </si>
  <si>
    <t>Total Commercial Light Truck Sales</t>
  </si>
  <si>
    <t>Light Medium Subtotal</t>
  </si>
  <si>
    <t>Medium Subtotal</t>
  </si>
  <si>
    <t>Weighted Average Credit</t>
  </si>
  <si>
    <t>Subsidy (2012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</si>
  <si>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</si>
  <si>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</si>
  <si>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</si>
  <si>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</si>
  <si>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</si>
  <si>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</si>
  <si>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</si>
  <si>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State EV purchase rebates/credits - nominal $ per vehicle (raw policy data; current as of 2026-06)</t>
  </si>
  <si>
    <t>Scope: purchase rebate/credit on the vehicle only (not EVSE, not tax exemptions); broadly-available amount (income-only programs =&gt; 0). Inputs for staff review - verify vs Source column.</t>
  </si>
  <si>
    <t>BEV subsidy (nominal $)</t>
  </si>
  <si>
    <t>Status</t>
  </si>
  <si>
    <t>Income note</t>
  </si>
  <si>
    <t>Source</t>
  </si>
  <si>
    <t>Active; Innovative Motor Vehicle Credit cut $3,500-&gt;$750 on 1/1/2026 (MSRP&lt;=$80k; +$2,500 if MSRP&lt;$35k)</t>
  </si>
  <si>
    <t>No</t>
  </si>
  <si>
    <t>https://tax.colorado.gov/electric-vehicle-tax-credits</t>
  </si>
  <si>
    <t>Active; CHEAPR base ($1,000 BEV/$500 PHEV); Rebate+ higher for income-qualified</t>
  </si>
  <si>
    <t>Base no</t>
  </si>
  <si>
    <t>https://portal.ct.gov/DEEP/Air/Mobile-Sources/CHEAPR/CHEAPR---Home</t>
  </si>
  <si>
    <t>Active; Clean Vehicle Rebate ($2,500 BEV MSRP&lt;$40k; $1,000 PHEV)</t>
  </si>
  <si>
    <t>https://driveelectricdelaware.org/program-overview</t>
  </si>
  <si>
    <t>Active; Drive Clean Rebate (tiered $500-$2,000; using $2,000 BEV top tier). Historical = realized average</t>
  </si>
  <si>
    <t>https://www.nyserda.ny.gov/All-Programs/Drive-Clean-Rebate-For-Electric-Cars-Program</t>
  </si>
  <si>
    <t>Ended for EVs (LDPLIP EV funding removed, announced Dec 2025)</t>
  </si>
  <si>
    <t>n/a</t>
  </si>
  <si>
    <t>https://www.tceq.texas.gov/airquality/terp/ldplip</t>
  </si>
  <si>
    <t>CVRP ended 11/8/2023; successor programs income-limited (excluded under scope)</t>
  </si>
  <si>
    <t>https://ww2.arb.ca.gov/news/californias-clean-vehicle-rebate-program-will-transition-helping-low-income-residents</t>
  </si>
  <si>
    <t>No current state EV purchase incentive (AFV credit ended 2021)</t>
  </si>
  <si>
    <t>https://afdc.energy.gov/laws/6603</t>
  </si>
  <si>
    <t>Income-qualified only now ($6k-$8k low/moderate income); no all-income tier =&gt; $0 broadly available</t>
  </si>
  <si>
    <t>Income-only</t>
  </si>
  <si>
    <t>https://efficiencymaine.com/electric-vehicle-incentives-for-low-and-moderate-income/</t>
  </si>
  <si>
    <t>Rebate funds exhausted/closed (2025); not accepting applications</t>
  </si>
  <si>
    <t>https://mn.gov/commerce/energy/consumer/energy-programs/ev-rebates.jsp</t>
  </si>
  <si>
    <t>Excise-tax credit ~$3,000 (MSRP&lt;=$50k); statutorily active thru 6/30/2027 but FY26 funds depleted (waitlist) - FLAG</t>
  </si>
  <si>
    <t>https://mva.maryland.gov/vehicles/Pages/excise-tax-credit-plug-in-electric.aspx</t>
  </si>
  <si>
    <t>Active; MOR-EV $3,500 BEV (MSRP&lt;=$55k). PHEVs phased out 2023 ($0)</t>
  </si>
  <si>
    <t>https://mor-ev.org/faqs</t>
  </si>
  <si>
    <t>Active; AFV Rebate ($3,000 BEV/$1,500 PHEV, MSRP&lt;=$45k); limited rebates per cycle; income limits apply</t>
  </si>
  <si>
    <t>Income limits</t>
  </si>
  <si>
    <t>https://www.pa.gov/agencies/dep/programs-and-services/grants-loans-rebates/alternative-fuel-vehicle-rebates-for-consumers</t>
  </si>
  <si>
    <t>Active; DRIVE EV ($3,000 BEV/$2,000 PHEV; up to $4,500 BEV w/ DRIVE+)</t>
  </si>
  <si>
    <t>https://drive.ri.gov/drive-ev-project</t>
  </si>
  <si>
    <t>Active; Charge Up NJ point-of-sale $1,500 base (BEV only; up to $4,000 w/ Charge Up+)</t>
  </si>
  <si>
    <t>https://chargeup.njcleanenergy.com</t>
  </si>
  <si>
    <t>SUSPENDED (Standard since 9/9/2025); standard $2,500, expected reopen ~summer 2026 - FLAG (using standard amount as BAU)</t>
  </si>
  <si>
    <t>Charge Ahead income-qualified</t>
  </si>
  <si>
    <t>https://www.oregon.gov/deq/aq/programs/Pages/zev-rebate.aspx</t>
  </si>
  <si>
    <t>Funds exhausted/paused; income-tiered ($2,500 mod/$5,000 low BEV). Using moderate-income amount as BAU - FLAG</t>
  </si>
  <si>
    <t>Income-tiered</t>
  </si>
  <si>
    <t>https://www.driveelectricvt.com/shopping/incentives/new-electric-vehicles</t>
  </si>
  <si>
    <t>Active (CEJA, annual cycles); $2,000 base / $4,000 low-income; BEV only (PHEVs ineligible)</t>
  </si>
  <si>
    <t>Low-income bonus</t>
  </si>
  <si>
    <t>https://epa.illinois.gov/topics/ceja/electric-vehicle-rebates.html</t>
  </si>
  <si>
    <t>Active; Clean Car income-tax credit (new $3,000 BEV/$2,500 PHEV), 5/15/2024-12/31/2029, phases down 2027-2029 (held flat here - FLAG)</t>
  </si>
  <si>
    <t>https://clean.energy.nm.gov/clean-car-state-tax-credit/</t>
  </si>
  <si>
    <t>EV Instant Rebate is income-qualified (&lt;=300% FPL) and currently closed/funds claimed =&gt; $0 under scope</t>
  </si>
  <si>
    <t>https://www.commerce.wa.gov/clean-transportation/ev-instant-rebate/</t>
  </si>
  <si>
    <t>EV rebate established in Code of Virginia but UNFUNDED (no payouts); sunset 1/1/2027 =&gt; $0</t>
  </si>
  <si>
    <t>https://law.lis.virginia.gov/vacodefull/title45.2/chapter17/article8/</t>
  </si>
  <si>
    <t>PHEV subsidy (nominal $)</t>
  </si>
  <si>
    <t>NOTES</t>
  </si>
  <si>
    <t>State Laws</t>
  </si>
  <si>
    <t>Alternative Fuels Data Center</t>
  </si>
  <si>
    <t>State Laws and Incentives</t>
  </si>
  <si>
    <t>https://afdc.energy.gov/laws/state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</si>
</sst>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m\-d"/>
    <numFmt numFmtId="167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0" fontId="2" fillId="0" borderId="0"/>
    <xf numFmtId="0" fontId="2" fillId="0" borderId="1">
      <alignment wrapText="1"/>
    </xf>
    <xf numFmtId="0" fontId="3" fillId="0" borderId="2">
      <alignment wrapText="1"/>
    </xf>
    <xf numFmtId="0" fontId="2" fillId="0" borderId="3">
      <alignment wrapText="1"/>
    </xf>
    <xf numFmtId="0" fontId="3" fillId="0" borderId="4">
      <alignment wrapText="1"/>
    </xf>
    <xf numFmtId="0" fontId="2" fillId="0" borderId="0"/>
    <xf numFmtId="0" fontId="4" fillId="0" borderId="0">
      <alignment horizontal="left"/>
    </xf>
    <xf numFmtId="0" fontId="5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/>
    <xf numFmtId="0" fontId="12" fillId="0" borderId="0"/>
    <xf numFmtId="44" fontId="12" fillId="0" borderId="0"/>
    <xf numFmtId="44" fontId="6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/>
    <xf numFmtId="6" fontId="0" fillId="0" borderId="0" xfId="0" applyNumberFormat="1"/>
    <xf numFmtId="6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9" fontId="8" fillId="0" borderId="0" xfId="0" applyNumberFormat="1" applyFont="1"/>
    <xf numFmtId="0" fontId="10" fillId="0" borderId="0" xfId="0" applyFont="1"/>
    <xf numFmtId="6" fontId="11" fillId="0" borderId="0" xfId="0" applyNumberFormat="1" applyFont="1"/>
    <xf numFmtId="9" fontId="0" fillId="0" borderId="0" xfId="30" applyFont="1"/>
    <xf numFmtId="164" fontId="0" fillId="0" borderId="0" xfId="0" applyNumberFormat="1"/>
    <xf numFmtId="164" fontId="0" fillId="0" borderId="0" xfId="30" applyNumberFormat="1" applyFont="1"/>
    <xf numFmtId="1" fontId="0" fillId="0" borderId="0" xfId="0" applyNumberFormat="1"/>
    <xf numFmtId="0" fontId="1" fillId="2" borderId="0" xfId="0" applyFont="1" applyFill="1"/>
    <xf numFmtId="0" fontId="13" fillId="3" borderId="0" xfId="31" applyFont="1" applyFill="1"/>
    <xf numFmtId="0" fontId="14" fillId="3" borderId="0" xfId="31" applyFont="1" applyFill="1" applyAlignment="1">
      <alignment horizontal="right"/>
    </xf>
    <xf numFmtId="0" fontId="12" fillId="0" borderId="0" xfId="31"/>
    <xf numFmtId="0" fontId="15" fillId="0" borderId="0" xfId="31" applyFont="1" applyAlignment="1">
      <alignment wrapText="1"/>
    </xf>
    <xf numFmtId="0" fontId="6" fillId="0" borderId="0" xfId="31" applyFont="1"/>
    <xf numFmtId="0" fontId="15" fillId="0" borderId="0" xfId="31" applyFont="1"/>
    <xf numFmtId="165" fontId="15" fillId="0" borderId="0" xfId="31" applyNumberFormat="1" applyFont="1"/>
    <xf numFmtId="0" fontId="15" fillId="0" borderId="0" xfId="31" applyFont="1" applyAlignment="1">
      <alignment horizontal="right" wrapText="1"/>
    </xf>
    <xf numFmtId="166" fontId="15" fillId="0" borderId="0" xfId="31" applyNumberFormat="1" applyFont="1" applyAlignment="1">
      <alignment wrapText="1"/>
    </xf>
    <xf numFmtId="0" fontId="16" fillId="0" borderId="0" xfId="31" applyFont="1"/>
    <xf numFmtId="0" fontId="17" fillId="0" borderId="0" xfId="31" applyFont="1"/>
    <xf numFmtId="0" fontId="17" fillId="0" borderId="0" xfId="31" applyFont="1" applyAlignment="1">
      <alignment horizontal="right"/>
    </xf>
    <xf numFmtId="0" fontId="16" fillId="0" borderId="0" xfId="31" applyFont="1" applyAlignment="1">
      <alignment horizontal="right"/>
    </xf>
    <xf numFmtId="10" fontId="16" fillId="0" borderId="0" xfId="31" applyNumberFormat="1" applyFont="1" applyAlignment="1">
      <alignment horizontal="right"/>
    </xf>
    <xf numFmtId="44" fontId="6" fillId="0" borderId="0" xfId="32" applyFont="1"/>
    <xf numFmtId="165" fontId="12" fillId="0" borderId="0" xfId="31" applyNumberFormat="1"/>
    <xf numFmtId="0" fontId="18" fillId="0" borderId="0" xfId="0" applyFont="1" applyAlignment="1">
      <alignment vertical="center"/>
    </xf>
    <xf numFmtId="0" fontId="19" fillId="0" borderId="0" xfId="0" applyFont="1"/>
    <xf numFmtId="14" fontId="0" fillId="0" borderId="0" xfId="0" applyNumberFormat="1"/>
    <xf numFmtId="0" fontId="8" fillId="0" borderId="0" xfId="31" applyFont="1"/>
    <xf numFmtId="1" fontId="8" fillId="0" borderId="0" xfId="31" applyNumberFormat="1" applyFont="1"/>
    <xf numFmtId="10" fontId="12" fillId="0" borderId="0" xfId="31" applyNumberFormat="1"/>
    <xf numFmtId="10" fontId="12" fillId="4" borderId="0" xfId="31" applyNumberFormat="1" applyFill="1"/>
    <xf numFmtId="10" fontId="6" fillId="4" borderId="0" xfId="31" applyNumberFormat="1" applyFont="1" applyFill="1"/>
    <xf numFmtId="0" fontId="12" fillId="5" borderId="0" xfId="31" applyFill="1"/>
    <xf numFmtId="0" fontId="12" fillId="6" borderId="0" xfId="31" applyFill="1"/>
    <xf numFmtId="1" fontId="0" fillId="0" borderId="0" xfId="33" applyNumberFormat="1" applyFont="1"/>
    <xf numFmtId="2" fontId="8" fillId="0" borderId="0" xfId="31" applyNumberFormat="1" applyFont="1"/>
    <xf numFmtId="2" fontId="8" fillId="0" borderId="0" xfId="0" applyNumberFormat="1" applyFont="1"/>
    <xf numFmtId="1" fontId="8" fillId="0" borderId="0" xfId="0" applyNumberFormat="1" applyFont="1"/>
    <xf numFmtId="38" fontId="8" fillId="0" borderId="0" xfId="0" applyNumberFormat="1" applyFont="1" applyAlignment="1">
      <alignment horizontal="right"/>
    </xf>
    <xf numFmtId="2" fontId="7" fillId="0" borderId="0" xfId="0" applyNumberFormat="1" applyFont="1"/>
    <xf numFmtId="3" fontId="8" fillId="0" borderId="0" xfId="0" applyNumberFormat="1" applyFont="1"/>
    <xf numFmtId="167" fontId="15" fillId="0" borderId="0" xfId="31" applyNumberFormat="1" applyFont="1"/>
    <xf numFmtId="167" fontId="12" fillId="0" borderId="0" xfId="31" applyNumberFormat="1"/>
    <xf numFmtId="2" fontId="0" fillId="0" borderId="0" xfId="0" applyNumberFormat="1"/>
    <xf numFmtId="6" fontId="20" fillId="0" borderId="0" xfId="0" applyNumberFormat="1" applyFont="1"/>
    <xf numFmtId="0" fontId="20" fillId="0" borderId="0" xfId="31" applyFont="1"/>
    <xf numFmtId="0" fontId="20" fillId="0" borderId="0" xfId="0" applyFont="1"/>
    <xf numFmtId="0" fontId="20" fillId="7" borderId="0" xfId="0" applyFont="1" applyFill="1"/>
    <xf numFmtId="0" fontId="1" fillId="4" borderId="0" xfId="0" applyFont="1" applyFill="1"/>
  </cellXfs>
  <cellStyles count="34">
    <cellStyle name="Body: normal cell" xfId="4" xr:uid="{00000000-0005-0000-0000-000004000000}"/>
    <cellStyle name="Body: normal cell 2" xfId="24" xr:uid="{00000000-0005-0000-0000-000018000000}"/>
    <cellStyle name="Body: normal cell 3" xfId="17" xr:uid="{00000000-0005-0000-0000-000011000000}"/>
    <cellStyle name="Body: normal cell 4" xfId="9" xr:uid="{00000000-0005-0000-0000-000009000000}"/>
    <cellStyle name="Currency" xfId="33" builtinId="4"/>
    <cellStyle name="Currency 2" xfId="32" xr:uid="{00000000-0005-0000-0000-000020000000}"/>
    <cellStyle name="Font: Calibri, 9pt regular" xfId="6" xr:uid="{00000000-0005-0000-0000-000006000000}"/>
    <cellStyle name="Font: Calibri, 9pt regular 2" xfId="25" xr:uid="{00000000-0005-0000-0000-000019000000}"/>
    <cellStyle name="Font: Calibri, 9pt regular 3" xfId="18" xr:uid="{00000000-0005-0000-0000-000012000000}"/>
    <cellStyle name="Font: Calibri, 9pt regular 4" xfId="10" xr:uid="{00000000-0005-0000-0000-00000A000000}"/>
    <cellStyle name="Footnotes: top row" xfId="2" xr:uid="{00000000-0005-0000-0000-000002000000}"/>
    <cellStyle name="Footnotes: top row 2" xfId="26" xr:uid="{00000000-0005-0000-0000-00001A000000}"/>
    <cellStyle name="Footnotes: top row 3" xfId="19" xr:uid="{00000000-0005-0000-0000-000013000000}"/>
    <cellStyle name="Footnotes: top row 4" xfId="11" xr:uid="{00000000-0005-0000-0000-00000B000000}"/>
    <cellStyle name="Header: bottom row" xfId="5" xr:uid="{00000000-0005-0000-0000-000005000000}"/>
    <cellStyle name="Header: bottom row 2" xfId="27" xr:uid="{00000000-0005-0000-0000-00001B000000}"/>
    <cellStyle name="Header: bottom row 3" xfId="20" xr:uid="{00000000-0005-0000-0000-000014000000}"/>
    <cellStyle name="Header: bottom row 4" xfId="12" xr:uid="{00000000-0005-0000-0000-00000C000000}"/>
    <cellStyle name="Hyperlink" xfId="8" builtinId="8"/>
    <cellStyle name="Normal" xfId="0" builtinId="0"/>
    <cellStyle name="Normal 2" xfId="1" xr:uid="{00000000-0005-0000-0000-000001000000}"/>
    <cellStyle name="Normal 3" xfId="23" xr:uid="{00000000-0005-0000-0000-000017000000}"/>
    <cellStyle name="Normal 4" xfId="16" xr:uid="{00000000-0005-0000-0000-000010000000}"/>
    <cellStyle name="Normal 5" xfId="15" xr:uid="{00000000-0005-0000-0000-00000F000000}"/>
    <cellStyle name="Normal 6" xfId="31" xr:uid="{00000000-0005-0000-0000-00001F000000}"/>
    <cellStyle name="Parent row" xfId="3" xr:uid="{00000000-0005-0000-0000-000003000000}"/>
    <cellStyle name="Parent row 2" xfId="28" xr:uid="{00000000-0005-0000-0000-00001C000000}"/>
    <cellStyle name="Parent row 3" xfId="21" xr:uid="{00000000-0005-0000-0000-000015000000}"/>
    <cellStyle name="Parent row 4" xfId="13" xr:uid="{00000000-0005-0000-0000-00000D000000}"/>
    <cellStyle name="Percent" xfId="30" builtinId="5"/>
    <cellStyle name="Table title" xfId="7" xr:uid="{00000000-0005-0000-0000-000007000000}"/>
    <cellStyle name="Table title 2" xfId="29" xr:uid="{00000000-0005-0000-0000-00001D000000}"/>
    <cellStyle name="Table title 3" xfId="22" xr:uid="{00000000-0005-0000-0000-000016000000}"/>
    <cellStyle name="Table title 4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12" sqref="C12"/>
    </sheetView>
  </sheetViews>
  <sheetFormatPr defaultColWidth="8.85546875" defaultRowHeight="15" x14ac:dyDescent="0.25"/>
  <cols>
    <col min="2" max="2" width="69.42578125" customWidth="1"/>
  </cols>
  <sheetData>
    <row r="1" spans="1:7" x14ac:dyDescent="0.25">
      <c r="A1" s="1" t="s">
        <v>29</v>
      </c>
      <c r="B1" s="36" t="s">
        <v>100</v>
      </c>
      <c r="C1" s="37">
        <v>46274</v>
      </c>
      <c r="F1" s="35" t="s">
        <v>31</v>
      </c>
      <c r="G1" s="35" t="s">
        <v>31</v>
      </c>
    </row>
    <row r="2" spans="1:7" x14ac:dyDescent="0.25">
      <c r="B2" s="1" t="str">
        <f>LOOKUP(B1,F2:G51,G2:G51)</f>
        <v>NY</v>
      </c>
      <c r="F2" s="36" t="s">
        <v>30</v>
      </c>
      <c r="G2" s="36" t="s">
        <v>32</v>
      </c>
    </row>
    <row r="3" spans="1:7" x14ac:dyDescent="0.25">
      <c r="A3" s="1" t="s">
        <v>33</v>
      </c>
      <c r="B3" s="18" t="s">
        <v>34</v>
      </c>
      <c r="F3" s="36" t="s">
        <v>35</v>
      </c>
      <c r="G3" s="36" t="s">
        <v>36</v>
      </c>
    </row>
    <row r="4" spans="1:7" x14ac:dyDescent="0.25">
      <c r="B4" t="s">
        <v>37</v>
      </c>
      <c r="F4" s="36" t="s">
        <v>38</v>
      </c>
      <c r="G4" s="36" t="s">
        <v>39</v>
      </c>
    </row>
    <row r="5" spans="1:7" x14ac:dyDescent="0.25">
      <c r="B5" s="3" t="s">
        <v>40</v>
      </c>
      <c r="F5" s="36" t="s">
        <v>41</v>
      </c>
      <c r="G5" s="36" t="s">
        <v>42</v>
      </c>
    </row>
    <row r="6" spans="1:7" x14ac:dyDescent="0.25">
      <c r="F6" s="36" t="s">
        <v>43</v>
      </c>
      <c r="G6" s="36" t="s">
        <v>44</v>
      </c>
    </row>
    <row r="7" spans="1:7" x14ac:dyDescent="0.25">
      <c r="B7" s="59" t="s">
        <v>236</v>
      </c>
      <c r="F7" s="36" t="s">
        <v>46</v>
      </c>
      <c r="G7" s="36" t="s">
        <v>47</v>
      </c>
    </row>
    <row r="8" spans="1:7" x14ac:dyDescent="0.25">
      <c r="B8" t="s">
        <v>237</v>
      </c>
      <c r="F8" s="36" t="s">
        <v>49</v>
      </c>
      <c r="G8" s="36" t="s">
        <v>50</v>
      </c>
    </row>
    <row r="9" spans="1:7" x14ac:dyDescent="0.25">
      <c r="B9" t="s">
        <v>238</v>
      </c>
      <c r="F9" s="36" t="s">
        <v>51</v>
      </c>
      <c r="G9" s="36" t="s">
        <v>52</v>
      </c>
    </row>
    <row r="10" spans="1:7" x14ac:dyDescent="0.25">
      <c r="B10" t="s">
        <v>239</v>
      </c>
      <c r="F10" s="36" t="s">
        <v>54</v>
      </c>
      <c r="G10" s="36" t="s">
        <v>55</v>
      </c>
    </row>
    <row r="11" spans="1:7" x14ac:dyDescent="0.25">
      <c r="B11" s="3">
        <v>2026</v>
      </c>
      <c r="F11" s="36" t="s">
        <v>56</v>
      </c>
      <c r="G11" s="36" t="s">
        <v>57</v>
      </c>
    </row>
    <row r="12" spans="1:7" x14ac:dyDescent="0.25">
      <c r="B12" s="3"/>
      <c r="F12" s="36" t="s">
        <v>58</v>
      </c>
      <c r="G12" s="36" t="s">
        <v>59</v>
      </c>
    </row>
    <row r="13" spans="1:7" x14ac:dyDescent="0.25">
      <c r="F13" s="36" t="s">
        <v>60</v>
      </c>
      <c r="G13" s="36" t="s">
        <v>61</v>
      </c>
    </row>
    <row r="14" spans="1:7" x14ac:dyDescent="0.25">
      <c r="B14" s="4"/>
      <c r="F14" s="36" t="s">
        <v>62</v>
      </c>
      <c r="G14" s="36" t="s">
        <v>63</v>
      </c>
    </row>
    <row r="15" spans="1:7" x14ac:dyDescent="0.25">
      <c r="A15" s="1" t="s">
        <v>235</v>
      </c>
      <c r="F15" s="36" t="s">
        <v>64</v>
      </c>
      <c r="G15" s="36" t="s">
        <v>65</v>
      </c>
    </row>
    <row r="16" spans="1:7" x14ac:dyDescent="0.25">
      <c r="A16" s="4" t="s">
        <v>45</v>
      </c>
      <c r="F16" s="36" t="s">
        <v>66</v>
      </c>
      <c r="G16" s="36" t="s">
        <v>67</v>
      </c>
    </row>
    <row r="17" spans="1:7" x14ac:dyDescent="0.25">
      <c r="A17" t="s">
        <v>48</v>
      </c>
      <c r="F17" s="36" t="s">
        <v>68</v>
      </c>
      <c r="G17" s="36" t="s">
        <v>69</v>
      </c>
    </row>
    <row r="18" spans="1:7" x14ac:dyDescent="0.25">
      <c r="F18" s="36" t="s">
        <v>70</v>
      </c>
      <c r="G18" s="36" t="s">
        <v>71</v>
      </c>
    </row>
    <row r="19" spans="1:7" x14ac:dyDescent="0.25">
      <c r="A19" t="s">
        <v>53</v>
      </c>
      <c r="F19" s="36" t="s">
        <v>72</v>
      </c>
      <c r="G19" s="36" t="s">
        <v>73</v>
      </c>
    </row>
    <row r="20" spans="1:7" x14ac:dyDescent="0.25">
      <c r="F20" s="36" t="s">
        <v>74</v>
      </c>
      <c r="G20" s="36" t="s">
        <v>75</v>
      </c>
    </row>
    <row r="21" spans="1:7" x14ac:dyDescent="0.25">
      <c r="F21" s="36" t="s">
        <v>76</v>
      </c>
      <c r="G21" s="36" t="s">
        <v>77</v>
      </c>
    </row>
    <row r="22" spans="1:7" x14ac:dyDescent="0.25">
      <c r="F22" s="36" t="s">
        <v>78</v>
      </c>
      <c r="G22" s="36" t="s">
        <v>79</v>
      </c>
    </row>
    <row r="23" spans="1:7" x14ac:dyDescent="0.25">
      <c r="F23" s="36" t="s">
        <v>80</v>
      </c>
      <c r="G23" s="36" t="s">
        <v>81</v>
      </c>
    </row>
    <row r="24" spans="1:7" x14ac:dyDescent="0.25">
      <c r="F24" s="36" t="s">
        <v>82</v>
      </c>
      <c r="G24" s="36" t="s">
        <v>83</v>
      </c>
    </row>
    <row r="25" spans="1:7" x14ac:dyDescent="0.25">
      <c r="F25" s="36" t="s">
        <v>84</v>
      </c>
      <c r="G25" s="36" t="s">
        <v>85</v>
      </c>
    </row>
    <row r="26" spans="1:7" x14ac:dyDescent="0.25">
      <c r="B26" s="3"/>
      <c r="F26" s="36" t="s">
        <v>86</v>
      </c>
      <c r="G26" s="36" t="s">
        <v>87</v>
      </c>
    </row>
    <row r="27" spans="1:7" x14ac:dyDescent="0.25">
      <c r="F27" s="36" t="s">
        <v>88</v>
      </c>
      <c r="G27" s="36" t="s">
        <v>89</v>
      </c>
    </row>
    <row r="28" spans="1:7" x14ac:dyDescent="0.25">
      <c r="B28" s="4"/>
      <c r="F28" s="36" t="s">
        <v>90</v>
      </c>
      <c r="G28" s="36" t="s">
        <v>91</v>
      </c>
    </row>
    <row r="29" spans="1:7" x14ac:dyDescent="0.25">
      <c r="F29" s="36" t="s">
        <v>92</v>
      </c>
      <c r="G29" s="36" t="s">
        <v>93</v>
      </c>
    </row>
    <row r="30" spans="1:7" x14ac:dyDescent="0.25">
      <c r="F30" s="36" t="s">
        <v>94</v>
      </c>
      <c r="G30" s="36" t="s">
        <v>95</v>
      </c>
    </row>
    <row r="31" spans="1:7" x14ac:dyDescent="0.25">
      <c r="A31" s="1"/>
      <c r="F31" s="36" t="s">
        <v>96</v>
      </c>
      <c r="G31" s="36" t="s">
        <v>97</v>
      </c>
    </row>
    <row r="32" spans="1:7" x14ac:dyDescent="0.25">
      <c r="F32" s="36" t="s">
        <v>98</v>
      </c>
      <c r="G32" s="36" t="s">
        <v>99</v>
      </c>
    </row>
    <row r="33" spans="6:7" x14ac:dyDescent="0.25">
      <c r="F33" s="36" t="s">
        <v>100</v>
      </c>
      <c r="G33" s="36" t="s">
        <v>101</v>
      </c>
    </row>
    <row r="34" spans="6:7" x14ac:dyDescent="0.25">
      <c r="F34" s="36" t="s">
        <v>102</v>
      </c>
      <c r="G34" s="36" t="s">
        <v>103</v>
      </c>
    </row>
    <row r="35" spans="6:7" x14ac:dyDescent="0.25">
      <c r="F35" s="36" t="s">
        <v>104</v>
      </c>
      <c r="G35" s="36" t="s">
        <v>105</v>
      </c>
    </row>
    <row r="36" spans="6:7" x14ac:dyDescent="0.25">
      <c r="F36" s="36" t="s">
        <v>106</v>
      </c>
      <c r="G36" s="36" t="s">
        <v>107</v>
      </c>
    </row>
    <row r="37" spans="6:7" x14ac:dyDescent="0.25">
      <c r="F37" s="36" t="s">
        <v>108</v>
      </c>
      <c r="G37" s="36" t="s">
        <v>109</v>
      </c>
    </row>
    <row r="38" spans="6:7" x14ac:dyDescent="0.25">
      <c r="F38" s="36" t="s">
        <v>110</v>
      </c>
      <c r="G38" s="36" t="s">
        <v>111</v>
      </c>
    </row>
    <row r="39" spans="6:7" x14ac:dyDescent="0.25">
      <c r="F39" s="36" t="s">
        <v>112</v>
      </c>
      <c r="G39" s="36" t="s">
        <v>113</v>
      </c>
    </row>
    <row r="40" spans="6:7" x14ac:dyDescent="0.25">
      <c r="F40" s="36" t="s">
        <v>114</v>
      </c>
      <c r="G40" s="36" t="s">
        <v>115</v>
      </c>
    </row>
    <row r="41" spans="6:7" x14ac:dyDescent="0.25">
      <c r="F41" s="36" t="s">
        <v>116</v>
      </c>
      <c r="G41" s="36" t="s">
        <v>117</v>
      </c>
    </row>
    <row r="42" spans="6:7" x14ac:dyDescent="0.25">
      <c r="F42" s="36" t="s">
        <v>118</v>
      </c>
      <c r="G42" s="36" t="s">
        <v>119</v>
      </c>
    </row>
    <row r="43" spans="6:7" x14ac:dyDescent="0.25">
      <c r="F43" s="36" t="s">
        <v>120</v>
      </c>
      <c r="G43" s="36" t="s">
        <v>121</v>
      </c>
    </row>
    <row r="44" spans="6:7" x14ac:dyDescent="0.25">
      <c r="F44" s="36" t="s">
        <v>122</v>
      </c>
      <c r="G44" s="36" t="s">
        <v>123</v>
      </c>
    </row>
    <row r="45" spans="6:7" x14ac:dyDescent="0.25">
      <c r="F45" s="36" t="s">
        <v>124</v>
      </c>
      <c r="G45" s="36" t="s">
        <v>125</v>
      </c>
    </row>
    <row r="46" spans="6:7" x14ac:dyDescent="0.25">
      <c r="F46" s="36" t="s">
        <v>126</v>
      </c>
      <c r="G46" s="36" t="s">
        <v>127</v>
      </c>
    </row>
    <row r="47" spans="6:7" x14ac:dyDescent="0.25">
      <c r="F47" s="36" t="s">
        <v>128</v>
      </c>
      <c r="G47" s="36" t="s">
        <v>129</v>
      </c>
    </row>
    <row r="48" spans="6:7" x14ac:dyDescent="0.25">
      <c r="F48" s="36" t="s">
        <v>130</v>
      </c>
      <c r="G48" s="36" t="s">
        <v>131</v>
      </c>
    </row>
    <row r="49" spans="6:7" x14ac:dyDescent="0.25">
      <c r="F49" s="36" t="s">
        <v>132</v>
      </c>
      <c r="G49" s="36" t="s">
        <v>133</v>
      </c>
    </row>
    <row r="50" spans="6:7" x14ac:dyDescent="0.25">
      <c r="F50" s="36" t="s">
        <v>134</v>
      </c>
      <c r="G50" s="36" t="s">
        <v>135</v>
      </c>
    </row>
    <row r="51" spans="6:7" x14ac:dyDescent="0.25">
      <c r="F51" s="36" t="s">
        <v>136</v>
      </c>
      <c r="G51" s="36" t="s">
        <v>137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7"/>
  <sheetViews>
    <sheetView topLeftCell="A52" workbookViewId="0">
      <selection activeCell="L72" sqref="L72"/>
    </sheetView>
  </sheetViews>
  <sheetFormatPr defaultColWidth="8.7109375" defaultRowHeight="15" x14ac:dyDescent="0.25"/>
  <cols>
    <col min="1" max="1" width="45.42578125" customWidth="1"/>
    <col min="2" max="2" width="15.7109375" customWidth="1"/>
    <col min="3" max="3" width="19.140625" customWidth="1"/>
    <col min="4" max="7" width="11.85546875" bestFit="1" customWidth="1"/>
    <col min="8" max="8" width="11.42578125" bestFit="1" customWidth="1"/>
    <col min="9" max="10" width="11.85546875" bestFit="1" customWidth="1"/>
    <col min="11" max="11" width="11.42578125" bestFit="1" customWidth="1"/>
    <col min="12" max="13" width="11.85546875" bestFit="1" customWidth="1"/>
  </cols>
  <sheetData>
    <row r="1" spans="1:31" x14ac:dyDescent="0.25">
      <c r="A1" s="1" t="s">
        <v>0</v>
      </c>
    </row>
    <row r="2" spans="1:31" x14ac:dyDescent="0.25">
      <c r="A2" t="s">
        <v>1</v>
      </c>
    </row>
    <row r="3" spans="1:31" x14ac:dyDescent="0.25">
      <c r="A3" s="1" t="s">
        <v>2</v>
      </c>
    </row>
    <row r="4" spans="1:31" x14ac:dyDescent="0.25"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  <c r="J4">
        <v>2029</v>
      </c>
      <c r="K4">
        <v>2030</v>
      </c>
      <c r="L4">
        <v>2031</v>
      </c>
      <c r="M4">
        <v>2032</v>
      </c>
      <c r="N4">
        <v>2033</v>
      </c>
      <c r="O4">
        <v>2034</v>
      </c>
      <c r="P4">
        <v>2035</v>
      </c>
      <c r="Q4">
        <v>2036</v>
      </c>
      <c r="R4">
        <v>2037</v>
      </c>
      <c r="S4">
        <v>2038</v>
      </c>
      <c r="T4">
        <v>2039</v>
      </c>
      <c r="U4">
        <v>2040</v>
      </c>
      <c r="V4">
        <v>2041</v>
      </c>
      <c r="W4">
        <v>2042</v>
      </c>
      <c r="X4">
        <v>2043</v>
      </c>
      <c r="Y4">
        <v>2044</v>
      </c>
      <c r="Z4">
        <v>2045</v>
      </c>
      <c r="AA4">
        <v>2046</v>
      </c>
      <c r="AB4">
        <v>2047</v>
      </c>
      <c r="AC4">
        <v>2048</v>
      </c>
      <c r="AD4">
        <v>2049</v>
      </c>
      <c r="AE4">
        <v>2050</v>
      </c>
    </row>
    <row r="5" spans="1:31" x14ac:dyDescent="0.25">
      <c r="A5" s="5" t="s">
        <v>3</v>
      </c>
      <c r="B5" s="45">
        <v>1646.4981124797289</v>
      </c>
      <c r="C5" s="45">
        <v>1368.5857570401331</v>
      </c>
      <c r="D5" s="45">
        <v>4795.9636566176632</v>
      </c>
      <c r="E5" s="45">
        <v>3555.487701851609</v>
      </c>
      <c r="F5" s="45">
        <v>3365.6876734116481</v>
      </c>
      <c r="G5" s="45">
        <v>3118.2246810233032</v>
      </c>
      <c r="H5" s="45">
        <v>2391.1775782482218</v>
      </c>
      <c r="I5" s="45">
        <v>2424.5099210417061</v>
      </c>
      <c r="J5" s="45">
        <v>2459.8873208312061</v>
      </c>
      <c r="K5" s="45">
        <v>2497.1120748745489</v>
      </c>
      <c r="L5" s="45">
        <v>2525.3972397122579</v>
      </c>
      <c r="M5" s="45">
        <v>2552.5012628800359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s="5" t="s">
        <v>4</v>
      </c>
      <c r="B6" s="45">
        <v>6652.7185168992282</v>
      </c>
      <c r="C6" s="45">
        <v>3617.050692978903</v>
      </c>
      <c r="D6" s="45">
        <v>3481.1983222883341</v>
      </c>
      <c r="E6" s="45">
        <v>2846.5223385773729</v>
      </c>
      <c r="F6" s="45">
        <v>2396.2166523302549</v>
      </c>
      <c r="G6" s="45">
        <v>2262.2795944248228</v>
      </c>
      <c r="H6" s="45">
        <v>2133.3803923218888</v>
      </c>
      <c r="I6" s="45">
        <v>2079.4479927022089</v>
      </c>
      <c r="J6" s="45">
        <v>2027.1389823455879</v>
      </c>
      <c r="K6" s="45">
        <v>1976.395272426731</v>
      </c>
      <c r="L6" s="45">
        <v>1926.1484722201319</v>
      </c>
      <c r="M6" s="45">
        <v>1877.137724280745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s="55" t="s">
        <v>5</v>
      </c>
      <c r="B7">
        <v>1</v>
      </c>
      <c r="C7">
        <v>1</v>
      </c>
      <c r="D7">
        <v>1</v>
      </c>
      <c r="E7">
        <v>1</v>
      </c>
      <c r="F7">
        <v>0.75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s="5"/>
    </row>
    <row r="9" spans="1:31" x14ac:dyDescent="0.25">
      <c r="A9" s="6"/>
    </row>
    <row r="10" spans="1:31" x14ac:dyDescent="0.25">
      <c r="A10" s="5"/>
    </row>
    <row r="11" spans="1:31" x14ac:dyDescent="0.25">
      <c r="A11" s="5"/>
    </row>
    <row r="12" spans="1:31" x14ac:dyDescent="0.25">
      <c r="A12" s="7"/>
      <c r="B12" s="7"/>
    </row>
    <row r="13" spans="1:31" x14ac:dyDescent="0.25">
      <c r="A13" s="8"/>
      <c r="B13" s="8"/>
      <c r="C13" s="9" t="s">
        <v>6</v>
      </c>
    </row>
    <row r="14" spans="1:31" x14ac:dyDescent="0.25">
      <c r="A14" s="8"/>
      <c r="B14" s="8"/>
      <c r="C14" s="9" t="s">
        <v>7</v>
      </c>
    </row>
    <row r="15" spans="1:31" x14ac:dyDescent="0.25">
      <c r="A15" s="8"/>
      <c r="B15" s="8"/>
    </row>
    <row r="16" spans="1:3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8" x14ac:dyDescent="0.25">
      <c r="A17" s="38"/>
      <c r="B17" s="46"/>
      <c r="C17" s="38"/>
      <c r="D17" s="38"/>
      <c r="E17" s="39"/>
      <c r="F17" s="39"/>
      <c r="G17" s="39"/>
      <c r="H17" s="39"/>
      <c r="I17" s="39"/>
      <c r="J17" s="39"/>
      <c r="K17" s="38"/>
    </row>
    <row r="18" spans="1:18" x14ac:dyDescent="0.25">
      <c r="A18" s="38"/>
      <c r="B18" s="46"/>
      <c r="C18" s="38"/>
      <c r="D18" s="39"/>
      <c r="E18" s="39"/>
      <c r="F18" s="39"/>
      <c r="G18" s="39"/>
      <c r="H18" s="39"/>
      <c r="I18" s="39"/>
      <c r="J18" s="39"/>
      <c r="K18" s="38"/>
      <c r="R18" s="9" t="s">
        <v>8</v>
      </c>
    </row>
    <row r="19" spans="1:18" x14ac:dyDescent="0.25">
      <c r="A19" s="8"/>
      <c r="B19" s="47"/>
      <c r="C19" s="8"/>
      <c r="D19" s="48"/>
      <c r="E19" s="48"/>
      <c r="F19" s="48"/>
      <c r="G19" s="48"/>
      <c r="H19" s="48"/>
      <c r="I19" s="48"/>
      <c r="J19" s="48"/>
    </row>
    <row r="20" spans="1:18" ht="15.75" customHeight="1" x14ac:dyDescent="0.25">
      <c r="A20" s="8"/>
      <c r="B20" s="47"/>
      <c r="C20" s="10"/>
      <c r="D20" s="48"/>
      <c r="E20" s="48"/>
      <c r="F20" s="48"/>
      <c r="G20" s="48"/>
      <c r="H20" s="48"/>
      <c r="I20" s="48"/>
      <c r="J20" s="48"/>
      <c r="K20" s="10"/>
      <c r="L20" s="10"/>
      <c r="M20" s="11"/>
    </row>
    <row r="21" spans="1:18" ht="15.75" customHeight="1" x14ac:dyDescent="0.25">
      <c r="A21" s="8"/>
      <c r="B21" s="47"/>
      <c r="C21" s="8"/>
      <c r="D21" s="8"/>
      <c r="E21" s="8"/>
      <c r="F21" s="8"/>
      <c r="G21" s="8"/>
      <c r="H21" s="8"/>
      <c r="I21" s="8"/>
      <c r="J21" s="8"/>
      <c r="K21" s="8"/>
      <c r="L21" s="10"/>
      <c r="M21" s="11"/>
    </row>
    <row r="22" spans="1:18" ht="15.75" customHeight="1" x14ac:dyDescent="0.25">
      <c r="A22" s="8"/>
      <c r="B22" s="47"/>
      <c r="C22" s="8"/>
      <c r="D22" s="48"/>
      <c r="E22" s="48"/>
      <c r="F22" s="48"/>
      <c r="G22" s="48"/>
      <c r="H22" s="8"/>
      <c r="I22" s="8"/>
      <c r="J22" s="8"/>
      <c r="K22" s="8"/>
      <c r="L22" s="10"/>
      <c r="M22" s="11"/>
    </row>
    <row r="23" spans="1:18" ht="15.75" customHeight="1" x14ac:dyDescent="0.25">
      <c r="A23" s="8"/>
      <c r="B23" s="47"/>
      <c r="C23" s="8"/>
      <c r="D23" s="49"/>
      <c r="E23" s="49"/>
      <c r="F23" s="49"/>
      <c r="G23" s="49"/>
      <c r="H23" s="49"/>
      <c r="I23" s="49"/>
      <c r="J23" s="49"/>
      <c r="K23" s="8"/>
      <c r="L23" s="10"/>
      <c r="M23" s="11"/>
    </row>
    <row r="24" spans="1:18" ht="15.6" customHeight="1" x14ac:dyDescent="0.25">
      <c r="A24" s="7"/>
      <c r="B24" s="50"/>
      <c r="C24" s="7"/>
      <c r="D24" s="8"/>
      <c r="E24" s="8"/>
      <c r="F24" s="8"/>
      <c r="G24" s="8"/>
      <c r="H24" s="8"/>
      <c r="I24" s="8"/>
      <c r="J24" s="8"/>
      <c r="K24" s="7"/>
      <c r="R24" s="12"/>
    </row>
    <row r="25" spans="1:18" ht="15.75" customHeight="1" x14ac:dyDescent="0.25">
      <c r="A25" s="7"/>
      <c r="B25" s="50"/>
      <c r="C25" s="7"/>
      <c r="D25" s="8"/>
      <c r="E25" s="8"/>
      <c r="F25" s="8"/>
      <c r="G25" s="8"/>
      <c r="H25" s="8"/>
      <c r="I25" s="8"/>
      <c r="J25" s="8"/>
      <c r="K25" s="7"/>
    </row>
    <row r="26" spans="1:18" ht="15.75" customHeight="1" x14ac:dyDescent="0.25">
      <c r="A26" s="7"/>
      <c r="B26" s="50"/>
      <c r="C26" s="7"/>
      <c r="D26" s="8"/>
      <c r="E26" s="8"/>
      <c r="F26" s="8"/>
      <c r="G26" s="8"/>
      <c r="H26" s="8"/>
      <c r="I26" s="8"/>
      <c r="J26" s="8"/>
    </row>
    <row r="27" spans="1:18" ht="15.75" customHeight="1" x14ac:dyDescent="0.25">
      <c r="A27" s="7"/>
      <c r="B27" s="50"/>
      <c r="C27" s="7"/>
      <c r="D27" s="8"/>
      <c r="E27" s="8"/>
      <c r="F27" s="8"/>
      <c r="G27" s="8"/>
      <c r="H27" s="8"/>
      <c r="I27" s="8"/>
      <c r="J27" s="8"/>
    </row>
    <row r="28" spans="1:18" ht="15.75" customHeight="1" x14ac:dyDescent="0.25">
      <c r="A28" s="7"/>
      <c r="B28" s="50"/>
      <c r="C28" s="7"/>
      <c r="D28" s="8"/>
      <c r="E28" s="8"/>
      <c r="F28" s="8"/>
      <c r="G28" s="8"/>
      <c r="H28" s="8"/>
      <c r="I28" s="8"/>
      <c r="J28" s="8"/>
    </row>
    <row r="29" spans="1:18" ht="15.75" customHeight="1" x14ac:dyDescent="0.25">
      <c r="A29" s="7"/>
      <c r="B29" s="50"/>
      <c r="C29" s="7"/>
      <c r="D29" s="8"/>
      <c r="E29" s="8"/>
      <c r="F29" s="8"/>
      <c r="G29" s="8"/>
      <c r="H29" s="8"/>
      <c r="I29" s="8"/>
      <c r="J29" s="8"/>
    </row>
    <row r="30" spans="1:18" ht="15.75" customHeight="1" x14ac:dyDescent="0.25">
      <c r="A30" s="7"/>
      <c r="B30" s="50"/>
      <c r="C30" s="7"/>
      <c r="D30" s="8"/>
      <c r="E30" s="8"/>
      <c r="F30" s="8"/>
      <c r="G30" s="8"/>
      <c r="H30" s="8"/>
      <c r="I30" s="8"/>
      <c r="J30" s="8"/>
      <c r="K30" s="8"/>
    </row>
    <row r="31" spans="1:18" ht="15.75" customHeight="1" x14ac:dyDescent="0.25">
      <c r="A31" s="7"/>
      <c r="B31" s="50"/>
      <c r="C31" s="7"/>
      <c r="D31" s="48"/>
      <c r="E31" s="48"/>
      <c r="F31" s="48"/>
      <c r="G31" s="48"/>
      <c r="H31" s="48"/>
      <c r="I31" s="48"/>
      <c r="J31" s="48"/>
    </row>
    <row r="32" spans="1:18" ht="15.75" customHeight="1" x14ac:dyDescent="0.25">
      <c r="A32" s="7"/>
      <c r="B32" s="50"/>
      <c r="C32" s="7"/>
      <c r="D32" s="51"/>
      <c r="E32" s="51"/>
      <c r="F32" s="51"/>
      <c r="G32" s="51"/>
      <c r="H32" s="51"/>
      <c r="I32" s="51"/>
      <c r="J32" s="51"/>
      <c r="K32" s="8"/>
    </row>
    <row r="33" spans="1:11" ht="15.75" customHeight="1" x14ac:dyDescent="0.25">
      <c r="A33" s="8"/>
      <c r="B33" s="47"/>
      <c r="C33" s="8"/>
      <c r="D33" s="8"/>
      <c r="E33" s="8"/>
      <c r="F33" s="8"/>
      <c r="G33" s="8"/>
      <c r="H33" s="8"/>
      <c r="I33" s="8"/>
      <c r="J33" s="8"/>
      <c r="K33" s="8"/>
    </row>
    <row r="34" spans="1:11" ht="15.75" customHeight="1" x14ac:dyDescent="0.25">
      <c r="A34" s="8"/>
      <c r="B34" s="8"/>
    </row>
    <row r="35" spans="1:11" ht="15.75" customHeight="1" x14ac:dyDescent="0.25">
      <c r="A35" s="8"/>
      <c r="B35" s="8"/>
    </row>
    <row r="36" spans="1:11" ht="15.7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1" s="38" customFormat="1" ht="15.75" customHeight="1" x14ac:dyDescent="0.25">
      <c r="D37" s="39"/>
      <c r="E37" s="39"/>
      <c r="F37" s="39"/>
      <c r="G37" s="39"/>
      <c r="H37" s="39"/>
      <c r="I37" s="39"/>
      <c r="J37" s="39"/>
    </row>
    <row r="38" spans="1:11" s="38" customFormat="1" ht="15.75" customHeight="1" x14ac:dyDescent="0.25">
      <c r="D38" s="39"/>
      <c r="E38" s="39"/>
      <c r="F38" s="39"/>
      <c r="G38" s="39"/>
      <c r="H38" s="39"/>
      <c r="I38" s="39"/>
      <c r="J38" s="39"/>
    </row>
    <row r="39" spans="1:11" s="38" customFormat="1" ht="15.75" customHeight="1" x14ac:dyDescent="0.25">
      <c r="A39" s="8"/>
      <c r="B39" s="8"/>
      <c r="C39" s="8"/>
      <c r="D39" s="48"/>
      <c r="E39" s="48"/>
      <c r="F39" s="48"/>
      <c r="G39" s="48"/>
      <c r="H39" s="48"/>
      <c r="I39" s="48"/>
      <c r="J39" s="48"/>
    </row>
    <row r="40" spans="1:11" s="38" customFormat="1" ht="15.75" customHeight="1" x14ac:dyDescent="0.25">
      <c r="A40" s="8"/>
      <c r="B40" s="8"/>
      <c r="C40" s="10"/>
      <c r="D40" s="48"/>
      <c r="E40" s="48"/>
      <c r="F40" s="48"/>
      <c r="G40" s="48"/>
      <c r="H40" s="48"/>
      <c r="I40" s="48"/>
      <c r="J40" s="48"/>
    </row>
    <row r="41" spans="1:11" s="38" customFormat="1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1" s="38" customFormat="1" ht="15.75" customHeight="1" x14ac:dyDescent="0.25">
      <c r="A42" s="8"/>
      <c r="B42" s="8"/>
      <c r="C42" s="8"/>
      <c r="D42" s="48"/>
      <c r="E42" s="48"/>
      <c r="F42" s="48"/>
      <c r="G42" s="48"/>
      <c r="H42" s="8"/>
      <c r="I42" s="8"/>
      <c r="J42" s="8"/>
    </row>
    <row r="43" spans="1:11" s="38" customFormat="1" ht="15.75" customHeight="1" x14ac:dyDescent="0.25">
      <c r="A43" s="8"/>
      <c r="B43" s="8"/>
      <c r="C43" s="8"/>
      <c r="D43" s="49"/>
      <c r="E43" s="49"/>
      <c r="F43" s="49"/>
      <c r="G43" s="49"/>
      <c r="H43" s="49"/>
      <c r="I43" s="49"/>
      <c r="J43" s="49"/>
    </row>
    <row r="44" spans="1:11" s="38" customFormat="1" ht="15.75" customHeight="1" x14ac:dyDescent="0.25">
      <c r="A44" s="7"/>
      <c r="B44" s="7"/>
      <c r="C44" s="7"/>
      <c r="D44" s="8"/>
      <c r="E44" s="8"/>
      <c r="F44" s="8"/>
      <c r="G44" s="8"/>
      <c r="H44" s="8"/>
      <c r="I44" s="8"/>
      <c r="J44" s="8"/>
    </row>
    <row r="45" spans="1:11" s="38" customFormat="1" ht="15.75" customHeight="1" x14ac:dyDescent="0.25">
      <c r="A45" s="7"/>
      <c r="B45" s="7"/>
      <c r="C45" s="7"/>
      <c r="D45" s="8"/>
      <c r="E45" s="8"/>
      <c r="F45" s="8"/>
      <c r="G45" s="8"/>
      <c r="H45" s="8"/>
      <c r="I45" s="8"/>
      <c r="J45" s="8"/>
    </row>
    <row r="46" spans="1:11" s="38" customFormat="1" ht="15.75" customHeight="1" x14ac:dyDescent="0.25">
      <c r="A46" s="7"/>
      <c r="B46" s="7"/>
      <c r="C46" s="7"/>
      <c r="D46" s="8"/>
      <c r="E46" s="8"/>
      <c r="F46" s="8"/>
      <c r="G46" s="8"/>
      <c r="H46" s="8"/>
      <c r="I46" s="8"/>
      <c r="J46" s="8"/>
    </row>
    <row r="47" spans="1:11" s="38" customFormat="1" ht="15.75" customHeight="1" x14ac:dyDescent="0.25">
      <c r="A47" s="7"/>
      <c r="B47" s="7"/>
      <c r="C47" s="7"/>
      <c r="D47" s="8"/>
      <c r="E47" s="8"/>
      <c r="F47" s="8"/>
      <c r="G47" s="8"/>
      <c r="H47" s="8"/>
      <c r="I47" s="8"/>
      <c r="J47" s="8"/>
    </row>
    <row r="48" spans="1:11" s="38" customFormat="1" ht="15.75" customHeight="1" x14ac:dyDescent="0.25">
      <c r="A48" s="7"/>
      <c r="B48" s="7"/>
      <c r="C48" s="7"/>
      <c r="D48" s="8"/>
      <c r="E48" s="8"/>
      <c r="F48" s="8"/>
      <c r="G48" s="8"/>
      <c r="H48" s="8"/>
      <c r="I48" s="8"/>
      <c r="J48" s="8"/>
    </row>
    <row r="49" spans="1:32" s="38" customFormat="1" ht="15.75" customHeight="1" x14ac:dyDescent="0.25">
      <c r="A49" s="7"/>
      <c r="B49" s="7"/>
      <c r="C49" s="7"/>
      <c r="D49" s="8"/>
      <c r="E49" s="8"/>
      <c r="F49" s="8"/>
      <c r="G49" s="8"/>
      <c r="H49" s="8"/>
      <c r="I49" s="8"/>
      <c r="J49" s="8"/>
    </row>
    <row r="50" spans="1:32" s="38" customFormat="1" ht="15.75" customHeight="1" x14ac:dyDescent="0.25">
      <c r="A50" s="7"/>
      <c r="B50" s="7"/>
      <c r="C50" s="7"/>
      <c r="D50" s="8"/>
      <c r="E50" s="8"/>
      <c r="F50" s="8"/>
      <c r="G50" s="8"/>
      <c r="H50" s="8"/>
      <c r="I50" s="8"/>
      <c r="J50" s="8"/>
    </row>
    <row r="51" spans="1:32" s="38" customFormat="1" ht="15.75" customHeight="1" x14ac:dyDescent="0.25">
      <c r="A51" s="7"/>
      <c r="B51" s="7"/>
      <c r="C51" s="7"/>
      <c r="D51" s="8"/>
      <c r="E51" s="8"/>
      <c r="F51" s="8"/>
      <c r="G51" s="48"/>
      <c r="H51" s="48"/>
      <c r="I51" s="48"/>
      <c r="J51" s="48"/>
    </row>
    <row r="52" spans="1:32" s="38" customFormat="1" ht="15.75" customHeight="1" x14ac:dyDescent="0.25">
      <c r="A52" s="7"/>
      <c r="B52" s="7"/>
      <c r="C52" s="7"/>
      <c r="D52" s="51"/>
      <c r="E52" s="51"/>
      <c r="F52" s="51"/>
      <c r="G52" s="51"/>
      <c r="H52" s="51"/>
      <c r="I52" s="51"/>
      <c r="J52" s="51"/>
    </row>
    <row r="53" spans="1:32" s="38" customFormat="1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32" s="38" customFormat="1" ht="15.75" customHeight="1" x14ac:dyDescent="0.25">
      <c r="A54" s="8"/>
      <c r="B54" s="8"/>
    </row>
    <row r="55" spans="1:32" ht="15.75" customHeight="1" x14ac:dyDescent="0.25">
      <c r="A55" s="8"/>
      <c r="B55" s="8"/>
    </row>
    <row r="56" spans="1:32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7"/>
    </row>
    <row r="57" spans="1:32" x14ac:dyDescent="0.25">
      <c r="A57" s="13"/>
    </row>
    <row r="58" spans="1:32" x14ac:dyDescent="0.25">
      <c r="A58" s="5"/>
    </row>
    <row r="59" spans="1:32" x14ac:dyDescent="0.25">
      <c r="A59" s="5"/>
    </row>
    <row r="60" spans="1:32" x14ac:dyDescent="0.25">
      <c r="A60" s="5"/>
    </row>
    <row r="61" spans="1:32" x14ac:dyDescent="0.25">
      <c r="A61" s="55" t="s">
        <v>9</v>
      </c>
    </row>
    <row r="62" spans="1:32" x14ac:dyDescent="0.25"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2" x14ac:dyDescent="0.25">
      <c r="A63" s="5" t="s">
        <v>3</v>
      </c>
      <c r="C63" s="5">
        <f>SUMIFS('State EV Rebates'!$C$5:$C$24,'State EV Rebates'!$A$5:$A$24,About!$B$2)*$L$79</f>
        <v>771.04663999999991</v>
      </c>
      <c r="D63" s="5">
        <f>SUMIFS('State EV Rebates'!$D$5:$D$24,'State EV Rebates'!$A$5:$A$24,About!$B$2)*$M$79</f>
        <v>450.31505400000003</v>
      </c>
      <c r="E63" s="5">
        <f>SUMIFS('State EV Rebates'!$E$5:$E$24,'State EV Rebates'!$A$5:$A$24,About!$B$2)*$N$79</f>
        <v>416.68715900000001</v>
      </c>
      <c r="F63" s="5">
        <f>SUMIFS('State EV Rebates'!$F$5:$F$24,'State EV Rebates'!$A$5:$A$24,About!$B$2)*$O$79</f>
        <v>257.634432</v>
      </c>
      <c r="G63" s="5">
        <f>SUMIFS('State EV Rebates'!$G$5:$G$24,'State EV Rebates'!$A$5:$A$24,About!$B$2)*$P$79</f>
        <v>250.98480000000001</v>
      </c>
      <c r="H63" s="5">
        <f>SUMIFS('State EV Rebates'!$H$5:$H$24,'State EV Rebates'!$A$5:$A$24,About!$B$2)*$Q$79</f>
        <v>1370.3019999999999</v>
      </c>
      <c r="I63" s="5">
        <f>SUMIFS('State EV Rebates'!$I$5:$I$24,'State EV Rebates'!$A$5:$A$24,About!$B$2)*$R$79</f>
        <v>1332.9780000000001</v>
      </c>
      <c r="J63" s="5">
        <f>SUMIFS('State EV Rebates'!$J$5:$J$24,'State EV Rebates'!$A$5:$A$24,About!$B$2)*$S$79</f>
        <v>1296.6679999999999</v>
      </c>
      <c r="K63" s="5">
        <f>SUMIFS('State EV Rebates'!$K$5:$K$24,'State EV Rebates'!$A$5:$A$24,About!$B$2)*$T$79</f>
        <v>1261.3499999999999</v>
      </c>
      <c r="L63" s="5">
        <f>SUMIFS('State EV Rebates'!$L$5:$L$24,'State EV Rebates'!$A$5:$A$24,About!$B$2)*$U$79</f>
        <v>1226.9939999999999</v>
      </c>
      <c r="M63" s="5">
        <f>SUMIFS('State EV Rebates'!$M$5:$M$24,'State EV Rebates'!$A$5:$A$24,About!$B$2)*$V$79</f>
        <v>0</v>
      </c>
      <c r="N63" s="5">
        <f>SUMIFS('State EV Rebates'!$N$5:$N$24,'State EV Rebates'!$A$5:$A$24,About!$B$2)*$W$79</f>
        <v>0</v>
      </c>
      <c r="O63" s="5">
        <f>SUMIFS('State EV Rebates'!$O$5:$O$24,'State EV Rebates'!$A$5:$A$24,About!$B$2)*$X$79</f>
        <v>0</v>
      </c>
      <c r="P63" s="5">
        <f>SUMIFS('State EV Rebates'!$P$5:$P$24,'State EV Rebates'!$A$5:$A$24,About!$B$2)*$Y$79</f>
        <v>0</v>
      </c>
      <c r="Q63" s="5">
        <f>SUMIFS('State EV Rebates'!$Q$5:$Q$24,'State EV Rebates'!$A$5:$A$24,About!$B$2)*$Z$79</f>
        <v>0</v>
      </c>
      <c r="R63" s="5">
        <f>SUMIFS('State EV Rebates'!$R$5:$R$24,'State EV Rebates'!$A$5:$A$24,About!$B$2)*$AA$79</f>
        <v>0</v>
      </c>
      <c r="S63" s="5">
        <f>SUMIFS('State EV Rebates'!$S$5:$S$24,'State EV Rebates'!$A$5:$A$24,About!$B$2)*$AB$79</f>
        <v>0</v>
      </c>
      <c r="T63" s="5">
        <f>SUMIFS('State EV Rebates'!$T$5:$T$24,'State EV Rebates'!$A$5:$A$24,About!$B$2)*$AC$79</f>
        <v>0</v>
      </c>
      <c r="U63" s="5">
        <f>SUMIFS('State EV Rebates'!$U$5:$U$24,'State EV Rebates'!$A$5:$A$24,About!$B$2)*$AD$79</f>
        <v>0</v>
      </c>
      <c r="V63" s="5">
        <f>SUMIFS('State EV Rebates'!$V$5:$V$24,'State EV Rebates'!$A$5:$A$24,About!$B$2)*$AE$79</f>
        <v>0</v>
      </c>
      <c r="W63" s="5">
        <f>SUMIFS('State EV Rebates'!$W$5:$W$24,'State EV Rebates'!$A$5:$A$24,About!$B$2)*$AF$79</f>
        <v>0</v>
      </c>
      <c r="X63" s="5">
        <f>SUMIFS('State EV Rebates'!$X$5:$X$24,'State EV Rebates'!$A$5:$A$24,About!$B$2)*$AG$79</f>
        <v>0</v>
      </c>
      <c r="Y63" s="5">
        <f>SUMIFS('State EV Rebates'!$Y$5:$Y$24,'State EV Rebates'!$A$5:$A$24,About!$B$2)*$AH$79</f>
        <v>0</v>
      </c>
      <c r="Z63" s="5">
        <f>SUMIFS('State EV Rebates'!$Z$5:$Z$24,'State EV Rebates'!$A$5:$A$24,About!$B$2)*$AI$79</f>
        <v>0</v>
      </c>
      <c r="AA63" s="5">
        <f>SUMIFS('State EV Rebates'!$AA$5:$AA$24,'State EV Rebates'!$A$5:$A$24,About!$B$2)*$AJ$79</f>
        <v>0</v>
      </c>
      <c r="AB63" s="5">
        <f>SUMIFS('State EV Rebates'!$AB$5:$AB$24,'State EV Rebates'!$A$5:$A$24,About!$B$2)*$AK$79</f>
        <v>0</v>
      </c>
      <c r="AC63" s="5">
        <f>SUMIFS('State EV Rebates'!$AC$5:$AC$24,'State EV Rebates'!$A$5:$A$24,About!$B$2)*$AL$79</f>
        <v>0</v>
      </c>
      <c r="AD63" s="5">
        <f>SUMIFS('State EV Rebates'!$AD$5:$AD$24,'State EV Rebates'!$A$5:$A$24,About!$B$2)*$AM$79</f>
        <v>0</v>
      </c>
      <c r="AE63" s="5">
        <f>SUMIFS('State EV Rebates'!$AE$5:$AE$24,'State EV Rebates'!$A$5:$A$24,About!$B$2)*$AN$79</f>
        <v>0</v>
      </c>
      <c r="AF63" s="5">
        <f>SUMIFS('State EV Rebates'!$AF$5:$AF$24,'State EV Rebates'!$A$5:$A$24,About!$B$2)*$AO$79</f>
        <v>0</v>
      </c>
    </row>
    <row r="64" spans="1:32" x14ac:dyDescent="0.25">
      <c r="A64" s="5" t="s">
        <v>4</v>
      </c>
      <c r="C64" s="5">
        <f>SUMIFS('State EV Rebates'!$C$28:$C$47,'State EV Rebates'!$A$28:$A$47,About!$B$2)*$L$79</f>
        <v>589.72358399999996</v>
      </c>
      <c r="D64" s="5">
        <f>SUMIFS('State EV Rebates'!$D$28:$D$47,'State EV Rebates'!$A$28:$A$47,About!$B$2)*$M$79</f>
        <v>276.93591300000003</v>
      </c>
      <c r="E64" s="5">
        <f>SUMIFS('State EV Rebates'!$E$28:$E$47,'State EV Rebates'!$A$28:$A$47,About!$B$2)*$N$79</f>
        <v>215.501858</v>
      </c>
      <c r="F64" s="5">
        <f>SUMIFS('State EV Rebates'!$F$28:$F$47,'State EV Rebates'!$A$28:$A$47,About!$B$2)*$O$79</f>
        <v>158.09385600000002</v>
      </c>
      <c r="G64" s="5">
        <f>SUMIFS('State EV Rebates'!$G$28:$G$47,'State EV Rebates'!$A$28:$A$47,About!$B$2)*$P$79</f>
        <v>154.01339999999999</v>
      </c>
      <c r="H64" s="5">
        <f>SUMIFS('State EV Rebates'!$H$28:$H$47,'State EV Rebates'!$A$28:$A$47,About!$B$2)*$Q$79</f>
        <v>685.15099999999995</v>
      </c>
      <c r="I64" s="5">
        <f>SUMIFS('State EV Rebates'!$I$28:$I$47,'State EV Rebates'!$A$28:$A$47,About!$B$2)*$R$79</f>
        <v>666.48900000000003</v>
      </c>
      <c r="J64" s="5">
        <f>SUMIFS('State EV Rebates'!$J$28:$J$47,'State EV Rebates'!$A$28:$A$47,About!$B$2)*$S$79</f>
        <v>648.33399999999995</v>
      </c>
      <c r="K64" s="5">
        <f>SUMIFS('State EV Rebates'!$K$28:$K$47,'State EV Rebates'!$A$28:$A$47,About!$B$2)*$T$79</f>
        <v>630.67499999999995</v>
      </c>
      <c r="L64" s="5">
        <f>SUMIFS('State EV Rebates'!$L$28:$L$47,'State EV Rebates'!$A$28:$A$47,About!$B$2)*$U$79</f>
        <v>613.49699999999996</v>
      </c>
      <c r="M64" s="5">
        <f>SUMIFS('State EV Rebates'!$M$28:$M$47,'State EV Rebates'!$A$28:$A$47,About!$B$2)*$V$79</f>
        <v>0</v>
      </c>
      <c r="N64" s="5">
        <f>SUMIFS('State EV Rebates'!$N$28:$N$47,'State EV Rebates'!$A$28:$A$47,About!$B$2)*$W$79</f>
        <v>0</v>
      </c>
      <c r="O64" s="5">
        <f>SUMIFS('State EV Rebates'!$O$28:$O$47,'State EV Rebates'!$A$28:$A$47,About!$B$2)*$X$79</f>
        <v>0</v>
      </c>
      <c r="P64" s="5">
        <f>SUMIFS('State EV Rebates'!$P$28:$P$47,'State EV Rebates'!$A$28:$A$47,About!$B$2)*$Y$79</f>
        <v>0</v>
      </c>
      <c r="Q64" s="5">
        <f>SUMIFS('State EV Rebates'!$Q$28:$Q$47,'State EV Rebates'!$A$28:$A$47,About!$B$2)*$Z$79</f>
        <v>0</v>
      </c>
      <c r="R64" s="5">
        <f>SUMIFS('State EV Rebates'!$R$28:$R$47,'State EV Rebates'!$A$28:$A$47,About!$B$2)*$AA$79</f>
        <v>0</v>
      </c>
      <c r="S64" s="5">
        <f>SUMIFS('State EV Rebates'!$S$28:$S$47,'State EV Rebates'!$A$28:$A$47,About!$B$2)*$AB$79</f>
        <v>0</v>
      </c>
      <c r="T64" s="5">
        <f>SUMIFS('State EV Rebates'!$T$28:$T$47,'State EV Rebates'!$A$28:$A$47,About!$B$2)*$AC$79</f>
        <v>0</v>
      </c>
      <c r="U64" s="5">
        <f>SUMIFS('State EV Rebates'!$U$28:$U$47,'State EV Rebates'!$A$28:$A$47,About!$B$2)*$AD$79</f>
        <v>0</v>
      </c>
      <c r="V64" s="5">
        <f>SUMIFS('State EV Rebates'!$V$28:$V$47,'State EV Rebates'!$A$28:$A$47,About!$B$2)*$AE$79</f>
        <v>0</v>
      </c>
      <c r="W64" s="5">
        <f>SUMIFS('State EV Rebates'!$W$28:$W$47,'State EV Rebates'!$A$28:$A$47,About!$B$2)*$AF$79</f>
        <v>0</v>
      </c>
      <c r="X64" s="5">
        <f>SUMIFS('State EV Rebates'!$X$28:$X$47,'State EV Rebates'!$A$28:$A$47,About!$B$2)*$AG$79</f>
        <v>0</v>
      </c>
      <c r="Y64" s="5">
        <f>SUMIFS('State EV Rebates'!$Y$28:$Y$47,'State EV Rebates'!$A$28:$A$47,About!$B$2)*$AH$79</f>
        <v>0</v>
      </c>
      <c r="Z64" s="5">
        <f>SUMIFS('State EV Rebates'!$Z$28:$Z$47,'State EV Rebates'!$A$28:$A$47,About!$B$2)*$AI$79</f>
        <v>0</v>
      </c>
      <c r="AA64" s="5">
        <f>SUMIFS('State EV Rebates'!$AA$28:$AA$47,'State EV Rebates'!$A$28:$A$47,About!$B$2)*$AJ$79</f>
        <v>0</v>
      </c>
      <c r="AB64" s="5">
        <f>SUMIFS('State EV Rebates'!$AB$28:$AB$47,'State EV Rebates'!$A$28:$A$47,About!$B$2)*$AK$79</f>
        <v>0</v>
      </c>
      <c r="AC64" s="5">
        <f>SUMIFS('State EV Rebates'!$AC$28:$AC$47,'State EV Rebates'!$A$28:$A$47,About!$B$2)*$AL$79</f>
        <v>0</v>
      </c>
      <c r="AD64" s="5">
        <f>SUMIFS('State EV Rebates'!$AD$28:$AD$47,'State EV Rebates'!$A$28:$A$47,About!$B$2)*$AM$79</f>
        <v>0</v>
      </c>
      <c r="AE64" s="5">
        <f>SUMIFS('State EV Rebates'!$AE$28:$AE$47,'State EV Rebates'!$A$28:$A$47,About!$B$2)*$AN$79</f>
        <v>0</v>
      </c>
      <c r="AF64" s="5">
        <f>SUMIFS('State EV Rebates'!$AF$28:$AF$47,'State EV Rebates'!$A$28:$A$47,About!$B$2)*$AO$79</f>
        <v>0</v>
      </c>
    </row>
    <row r="65" spans="1:41" x14ac:dyDescent="0.25">
      <c r="A65" s="5"/>
    </row>
    <row r="66" spans="1:41" x14ac:dyDescent="0.25">
      <c r="A66" s="5" t="s">
        <v>10</v>
      </c>
    </row>
    <row r="67" spans="1:41" x14ac:dyDescent="0.25">
      <c r="C67">
        <v>2021</v>
      </c>
      <c r="D67">
        <v>2022</v>
      </c>
      <c r="E67">
        <v>2023</v>
      </c>
      <c r="F67">
        <v>2024</v>
      </c>
      <c r="G67">
        <v>2025</v>
      </c>
      <c r="H67">
        <v>2026</v>
      </c>
      <c r="I67">
        <v>2027</v>
      </c>
      <c r="J67">
        <v>2028</v>
      </c>
      <c r="K67">
        <v>2029</v>
      </c>
      <c r="L67">
        <v>2030</v>
      </c>
      <c r="M67">
        <v>2031</v>
      </c>
      <c r="N67">
        <v>2032</v>
      </c>
      <c r="O67">
        <v>2033</v>
      </c>
      <c r="P67">
        <v>2034</v>
      </c>
      <c r="Q67">
        <v>2035</v>
      </c>
      <c r="R67">
        <v>2036</v>
      </c>
      <c r="S67">
        <v>2037</v>
      </c>
      <c r="T67">
        <v>2038</v>
      </c>
      <c r="U67">
        <v>2039</v>
      </c>
      <c r="V67">
        <v>2040</v>
      </c>
      <c r="W67">
        <v>2041</v>
      </c>
      <c r="X67">
        <v>2042</v>
      </c>
      <c r="Y67">
        <v>2043</v>
      </c>
      <c r="Z67">
        <v>2044</v>
      </c>
      <c r="AA67">
        <v>2045</v>
      </c>
      <c r="AB67">
        <v>2046</v>
      </c>
      <c r="AC67">
        <v>2047</v>
      </c>
      <c r="AD67">
        <v>2048</v>
      </c>
      <c r="AE67">
        <v>2049</v>
      </c>
      <c r="AF67">
        <v>2050</v>
      </c>
    </row>
    <row r="68" spans="1:41" x14ac:dyDescent="0.25">
      <c r="A68" s="5" t="s">
        <v>3</v>
      </c>
      <c r="B68" s="5"/>
      <c r="C68" s="5">
        <f t="shared" ref="C68:AF68" si="0">B5*B7+C63</f>
        <v>2417.5447524797287</v>
      </c>
      <c r="D68" s="5">
        <f t="shared" si="0"/>
        <v>1818.9008110401332</v>
      </c>
      <c r="E68" s="5">
        <f t="shared" si="0"/>
        <v>5212.6508156176633</v>
      </c>
      <c r="F68" s="5">
        <f t="shared" si="0"/>
        <v>3813.1221338516089</v>
      </c>
      <c r="G68" s="5">
        <f t="shared" si="0"/>
        <v>2775.2505550587362</v>
      </c>
      <c r="H68" s="5">
        <f t="shared" si="0"/>
        <v>1370.3019999999999</v>
      </c>
      <c r="I68" s="5">
        <f t="shared" si="0"/>
        <v>1332.9780000000001</v>
      </c>
      <c r="J68" s="5">
        <f t="shared" si="0"/>
        <v>1296.6679999999999</v>
      </c>
      <c r="K68" s="5">
        <f t="shared" si="0"/>
        <v>1261.3499999999999</v>
      </c>
      <c r="L68" s="5">
        <f t="shared" si="0"/>
        <v>1226.9939999999999</v>
      </c>
      <c r="M68" s="5">
        <f t="shared" si="0"/>
        <v>0</v>
      </c>
      <c r="N68" s="5">
        <f t="shared" si="0"/>
        <v>0</v>
      </c>
      <c r="O68" s="5">
        <f t="shared" si="0"/>
        <v>0</v>
      </c>
      <c r="P68" s="5">
        <f t="shared" si="0"/>
        <v>0</v>
      </c>
      <c r="Q68" s="5">
        <f t="shared" si="0"/>
        <v>0</v>
      </c>
      <c r="R68" s="5">
        <f t="shared" si="0"/>
        <v>0</v>
      </c>
      <c r="S68" s="5">
        <f t="shared" si="0"/>
        <v>0</v>
      </c>
      <c r="T68" s="5">
        <f t="shared" si="0"/>
        <v>0</v>
      </c>
      <c r="U68" s="5">
        <f t="shared" si="0"/>
        <v>0</v>
      </c>
      <c r="V68" s="5">
        <f t="shared" si="0"/>
        <v>0</v>
      </c>
      <c r="W68" s="5">
        <f t="shared" si="0"/>
        <v>0</v>
      </c>
      <c r="X68" s="5">
        <f t="shared" si="0"/>
        <v>0</v>
      </c>
      <c r="Y68" s="5">
        <f t="shared" si="0"/>
        <v>0</v>
      </c>
      <c r="Z68" s="5">
        <f t="shared" si="0"/>
        <v>0</v>
      </c>
      <c r="AA68" s="5">
        <f t="shared" si="0"/>
        <v>0</v>
      </c>
      <c r="AB68" s="5">
        <f t="shared" si="0"/>
        <v>0</v>
      </c>
      <c r="AC68" s="5">
        <f t="shared" si="0"/>
        <v>0</v>
      </c>
      <c r="AD68" s="5">
        <f t="shared" si="0"/>
        <v>0</v>
      </c>
      <c r="AE68" s="5">
        <f t="shared" si="0"/>
        <v>0</v>
      </c>
      <c r="AF68" s="5">
        <f t="shared" si="0"/>
        <v>0</v>
      </c>
    </row>
    <row r="69" spans="1:41" x14ac:dyDescent="0.25">
      <c r="A69" s="5" t="s">
        <v>4</v>
      </c>
      <c r="C69" s="5">
        <f t="shared" ref="C69:AF69" si="1">B6*B7+C64</f>
        <v>7242.4421008992285</v>
      </c>
      <c r="D69" s="5">
        <f t="shared" si="1"/>
        <v>3893.9866059789028</v>
      </c>
      <c r="E69" s="5">
        <f t="shared" si="1"/>
        <v>3696.7001802883342</v>
      </c>
      <c r="F69" s="5">
        <f t="shared" si="1"/>
        <v>3004.6161945773729</v>
      </c>
      <c r="G69" s="5">
        <f t="shared" si="1"/>
        <v>1951.1758892476912</v>
      </c>
      <c r="H69" s="5">
        <f t="shared" si="1"/>
        <v>685.15099999999995</v>
      </c>
      <c r="I69" s="5">
        <f t="shared" si="1"/>
        <v>666.48900000000003</v>
      </c>
      <c r="J69" s="5">
        <f t="shared" si="1"/>
        <v>648.33399999999995</v>
      </c>
      <c r="K69" s="5">
        <f t="shared" si="1"/>
        <v>630.67499999999995</v>
      </c>
      <c r="L69" s="5">
        <f t="shared" si="1"/>
        <v>613.49699999999996</v>
      </c>
      <c r="M69" s="5">
        <f t="shared" si="1"/>
        <v>0</v>
      </c>
      <c r="N69" s="5">
        <f t="shared" si="1"/>
        <v>0</v>
      </c>
      <c r="O69" s="5">
        <f t="shared" si="1"/>
        <v>0</v>
      </c>
      <c r="P69" s="5">
        <f t="shared" si="1"/>
        <v>0</v>
      </c>
      <c r="Q69" s="5">
        <f t="shared" si="1"/>
        <v>0</v>
      </c>
      <c r="R69" s="5">
        <f t="shared" si="1"/>
        <v>0</v>
      </c>
      <c r="S69" s="5">
        <f t="shared" si="1"/>
        <v>0</v>
      </c>
      <c r="T69" s="5">
        <f t="shared" si="1"/>
        <v>0</v>
      </c>
      <c r="U69" s="5">
        <f t="shared" si="1"/>
        <v>0</v>
      </c>
      <c r="V69" s="5">
        <f t="shared" si="1"/>
        <v>0</v>
      </c>
      <c r="W69" s="5">
        <f t="shared" si="1"/>
        <v>0</v>
      </c>
      <c r="X69" s="5">
        <f t="shared" si="1"/>
        <v>0</v>
      </c>
      <c r="Y69" s="5">
        <f t="shared" si="1"/>
        <v>0</v>
      </c>
      <c r="Z69" s="5">
        <f t="shared" si="1"/>
        <v>0</v>
      </c>
      <c r="AA69" s="5">
        <f t="shared" si="1"/>
        <v>0</v>
      </c>
      <c r="AB69" s="5">
        <f t="shared" si="1"/>
        <v>0</v>
      </c>
      <c r="AC69" s="5">
        <f t="shared" si="1"/>
        <v>0</v>
      </c>
      <c r="AD69" s="5">
        <f t="shared" si="1"/>
        <v>0</v>
      </c>
      <c r="AE69" s="5">
        <f t="shared" si="1"/>
        <v>0</v>
      </c>
      <c r="AF69" s="5">
        <f t="shared" si="1"/>
        <v>0</v>
      </c>
    </row>
    <row r="73" spans="1:41" x14ac:dyDescent="0.25">
      <c r="D73" s="21" t="s">
        <v>11</v>
      </c>
      <c r="E73" s="21"/>
      <c r="F73" s="21"/>
      <c r="G73" s="21"/>
      <c r="H73" s="21"/>
      <c r="I73" s="21"/>
      <c r="J73" s="21"/>
    </row>
    <row r="74" spans="1:41" x14ac:dyDescent="0.25">
      <c r="D74" s="21" t="s">
        <v>12</v>
      </c>
      <c r="E74" s="21"/>
      <c r="F74" s="21"/>
      <c r="G74" s="21"/>
      <c r="H74" s="21"/>
      <c r="I74" s="21"/>
      <c r="J74" s="21"/>
    </row>
    <row r="75" spans="1:41" x14ac:dyDescent="0.25">
      <c r="D75" s="21">
        <v>2020</v>
      </c>
      <c r="E75" s="21">
        <v>2021</v>
      </c>
      <c r="F75" s="21">
        <v>2022</v>
      </c>
      <c r="G75" s="21">
        <v>2023</v>
      </c>
      <c r="H75" s="21">
        <v>2024</v>
      </c>
      <c r="I75" s="21">
        <v>2025</v>
      </c>
      <c r="J75" s="21">
        <v>2026</v>
      </c>
    </row>
    <row r="76" spans="1:41" x14ac:dyDescent="0.25">
      <c r="D76" s="40">
        <v>0.2467</v>
      </c>
      <c r="E76" s="40">
        <v>0.30919999999999997</v>
      </c>
      <c r="F76" s="40">
        <v>0.14099999999999999</v>
      </c>
      <c r="G76" s="40">
        <v>0.21729999999999999</v>
      </c>
      <c r="H76" s="40">
        <v>0.46560000000000001</v>
      </c>
      <c r="I76" s="41">
        <f>H76</f>
        <v>0.46560000000000001</v>
      </c>
      <c r="J76" s="42">
        <f>I76</f>
        <v>0.46560000000000001</v>
      </c>
    </row>
    <row r="78" spans="1:41" x14ac:dyDescent="0.25">
      <c r="B78" s="21"/>
      <c r="C78" s="21">
        <v>2012</v>
      </c>
      <c r="D78" s="21">
        <v>2013</v>
      </c>
      <c r="E78" s="21">
        <v>2014</v>
      </c>
      <c r="F78" s="21">
        <v>2015</v>
      </c>
      <c r="G78" s="21">
        <v>2016</v>
      </c>
      <c r="H78" s="21">
        <v>2017</v>
      </c>
      <c r="I78" s="21">
        <v>2018</v>
      </c>
      <c r="J78" s="21">
        <v>2019</v>
      </c>
      <c r="K78" s="21">
        <v>2020</v>
      </c>
      <c r="L78" s="21">
        <v>2021</v>
      </c>
      <c r="M78" s="21">
        <v>2022</v>
      </c>
      <c r="N78" s="21">
        <v>2023</v>
      </c>
      <c r="O78" s="21">
        <v>2024</v>
      </c>
      <c r="P78" s="21">
        <v>2025</v>
      </c>
      <c r="Q78" s="21">
        <v>2026</v>
      </c>
      <c r="R78" s="21">
        <v>2027</v>
      </c>
      <c r="S78" s="21">
        <v>2028</v>
      </c>
      <c r="T78" s="21">
        <v>2029</v>
      </c>
      <c r="U78" s="21">
        <v>2030</v>
      </c>
      <c r="V78" s="21">
        <v>2031</v>
      </c>
      <c r="W78" s="21">
        <v>2032</v>
      </c>
      <c r="X78" s="21">
        <v>2033</v>
      </c>
      <c r="Y78" s="21">
        <v>2034</v>
      </c>
      <c r="Z78" s="21">
        <v>2035</v>
      </c>
      <c r="AA78">
        <v>2036</v>
      </c>
      <c r="AB78">
        <v>2037</v>
      </c>
      <c r="AC78">
        <v>2038</v>
      </c>
      <c r="AD78">
        <v>2039</v>
      </c>
      <c r="AE78">
        <v>2040</v>
      </c>
      <c r="AF78">
        <v>2041</v>
      </c>
      <c r="AG78">
        <v>2042</v>
      </c>
      <c r="AH78">
        <v>2043</v>
      </c>
      <c r="AI78">
        <v>2044</v>
      </c>
      <c r="AJ78">
        <v>2045</v>
      </c>
      <c r="AK78">
        <v>2046</v>
      </c>
      <c r="AL78">
        <v>2047</v>
      </c>
      <c r="AM78">
        <v>2048</v>
      </c>
      <c r="AN78">
        <v>2049</v>
      </c>
      <c r="AO78">
        <v>2050</v>
      </c>
    </row>
    <row r="79" spans="1:41" x14ac:dyDescent="0.25">
      <c r="B79" s="21" t="s">
        <v>13</v>
      </c>
      <c r="C79" s="43">
        <v>1</v>
      </c>
      <c r="D79" s="43">
        <v>0.985564</v>
      </c>
      <c r="E79" s="43">
        <v>0.969831</v>
      </c>
      <c r="F79" s="43">
        <v>0.96868200000000004</v>
      </c>
      <c r="G79" s="43">
        <v>0.95661399999999996</v>
      </c>
      <c r="H79" s="43">
        <v>0.93666000000000005</v>
      </c>
      <c r="I79" s="43">
        <v>0.914327</v>
      </c>
      <c r="J79" s="43">
        <v>0.89805500000000005</v>
      </c>
      <c r="K79" s="43">
        <v>0.88711099999999998</v>
      </c>
      <c r="L79" s="43">
        <v>0.84730399999999995</v>
      </c>
      <c r="M79" s="43">
        <v>0.78452100000000002</v>
      </c>
      <c r="N79" s="43">
        <v>0.75350300000000003</v>
      </c>
      <c r="O79" s="43">
        <v>0.73191600000000001</v>
      </c>
      <c r="P79" s="44">
        <v>0.71302500000000002</v>
      </c>
      <c r="Q79" s="44">
        <v>0.68515099999999995</v>
      </c>
      <c r="R79" s="44">
        <v>0.666489</v>
      </c>
      <c r="S79" s="44">
        <v>0.64833399999999997</v>
      </c>
      <c r="T79" s="44">
        <v>0.63067499999999999</v>
      </c>
      <c r="U79" s="44">
        <v>0.61349699999999996</v>
      </c>
      <c r="V79" s="44">
        <v>0.59678699999999996</v>
      </c>
      <c r="W79" s="44">
        <v>0.58053200000000005</v>
      </c>
      <c r="X79" s="44">
        <v>0.56471899999999997</v>
      </c>
      <c r="Y79" s="44">
        <v>0.54933799999999999</v>
      </c>
      <c r="Z79" s="44">
        <v>0.53437400000000002</v>
      </c>
      <c r="AA79">
        <v>0.51981999999999995</v>
      </c>
      <c r="AB79">
        <v>0.50566100000000003</v>
      </c>
      <c r="AC79">
        <v>0.49188900000000002</v>
      </c>
      <c r="AD79">
        <v>0.478491</v>
      </c>
      <c r="AE79">
        <v>0.46545900000000001</v>
      </c>
      <c r="AF79">
        <v>0.45278099999999999</v>
      </c>
      <c r="AG79">
        <v>0.44044899999999998</v>
      </c>
      <c r="AH79">
        <v>0.428452</v>
      </c>
      <c r="AI79">
        <v>0.41678199999999999</v>
      </c>
      <c r="AJ79">
        <v>0.40543000000000001</v>
      </c>
      <c r="AK79">
        <v>0.39438800000000002</v>
      </c>
      <c r="AL79">
        <v>0.38364599999999999</v>
      </c>
      <c r="AM79">
        <v>0.37319600000000003</v>
      </c>
      <c r="AN79">
        <v>0.36303099999999999</v>
      </c>
      <c r="AO79">
        <v>0.35314299999999998</v>
      </c>
    </row>
    <row r="82" spans="1:12" x14ac:dyDescent="0.25">
      <c r="A82" t="s">
        <v>14</v>
      </c>
      <c r="B82" s="15"/>
      <c r="C82" s="16"/>
      <c r="D82" s="16" t="s">
        <v>15</v>
      </c>
      <c r="E82" s="16"/>
      <c r="F82" s="16"/>
      <c r="G82" s="16">
        <v>0.03</v>
      </c>
      <c r="H82" s="16"/>
      <c r="I82" s="16"/>
      <c r="J82" s="16"/>
      <c r="K82" s="16"/>
      <c r="L82" s="14"/>
    </row>
    <row r="84" spans="1:12" x14ac:dyDescent="0.25">
      <c r="A84" t="s">
        <v>16</v>
      </c>
      <c r="B84">
        <v>228.85</v>
      </c>
      <c r="C84">
        <v>230.33799999999999</v>
      </c>
      <c r="D84">
        <v>229.59399999999999</v>
      </c>
      <c r="E84">
        <v>1.7</v>
      </c>
      <c r="F84">
        <v>2.1</v>
      </c>
      <c r="G84">
        <v>1</v>
      </c>
    </row>
    <row r="85" spans="1:12" x14ac:dyDescent="0.25">
      <c r="A85" t="s">
        <v>17</v>
      </c>
      <c r="B85">
        <v>232.36600000000001</v>
      </c>
      <c r="C85">
        <v>233.548</v>
      </c>
      <c r="D85">
        <v>232.95699999999999</v>
      </c>
      <c r="E85">
        <v>1.5</v>
      </c>
      <c r="F85">
        <v>1.5</v>
      </c>
      <c r="G85">
        <v>0.985564</v>
      </c>
    </row>
    <row r="86" spans="1:12" x14ac:dyDescent="0.25">
      <c r="A86" t="s">
        <v>18</v>
      </c>
      <c r="B86">
        <v>236.38399999999999</v>
      </c>
      <c r="C86">
        <v>237.08799999999999</v>
      </c>
      <c r="D86">
        <v>236.73599999999999</v>
      </c>
      <c r="E86">
        <v>0.8</v>
      </c>
      <c r="F86">
        <v>1.6</v>
      </c>
      <c r="G86">
        <v>0.969831</v>
      </c>
    </row>
    <row r="87" spans="1:12" x14ac:dyDescent="0.25">
      <c r="A87" t="s">
        <v>19</v>
      </c>
      <c r="B87">
        <v>236.26499999999999</v>
      </c>
      <c r="C87">
        <v>237.76900000000001</v>
      </c>
      <c r="D87">
        <v>237.017</v>
      </c>
      <c r="E87">
        <v>0.7</v>
      </c>
      <c r="F87">
        <v>0.1</v>
      </c>
      <c r="G87">
        <v>0.96868200000000004</v>
      </c>
    </row>
    <row r="88" spans="1:12" x14ac:dyDescent="0.25">
      <c r="A88" t="s">
        <v>20</v>
      </c>
      <c r="B88">
        <v>238.77799999999999</v>
      </c>
      <c r="C88">
        <v>241.23699999999999</v>
      </c>
      <c r="D88">
        <v>240.00700000000001</v>
      </c>
      <c r="E88">
        <v>2.1</v>
      </c>
      <c r="F88">
        <v>1.3</v>
      </c>
      <c r="G88">
        <v>0.95661399999999996</v>
      </c>
    </row>
    <row r="89" spans="1:12" x14ac:dyDescent="0.25">
      <c r="A89" t="s">
        <v>21</v>
      </c>
      <c r="B89">
        <v>244.07599999999999</v>
      </c>
      <c r="C89">
        <v>246.16300000000001</v>
      </c>
      <c r="D89">
        <v>245.12</v>
      </c>
      <c r="E89">
        <v>2.1</v>
      </c>
      <c r="F89">
        <v>2.1</v>
      </c>
      <c r="G89">
        <v>0.93666000000000005</v>
      </c>
    </row>
    <row r="90" spans="1:12" x14ac:dyDescent="0.25">
      <c r="A90" t="s">
        <v>22</v>
      </c>
      <c r="B90">
        <v>250.089</v>
      </c>
      <c r="C90">
        <v>252.125</v>
      </c>
      <c r="D90">
        <v>251.107</v>
      </c>
      <c r="E90">
        <v>1.9</v>
      </c>
      <c r="F90">
        <v>2.4</v>
      </c>
      <c r="G90">
        <v>0.914327</v>
      </c>
    </row>
    <row r="91" spans="1:12" x14ac:dyDescent="0.25">
      <c r="A91" t="s">
        <v>23</v>
      </c>
      <c r="B91">
        <v>254.41200000000001</v>
      </c>
      <c r="C91">
        <v>256.90300000000002</v>
      </c>
      <c r="D91">
        <v>255.65700000000001</v>
      </c>
      <c r="E91">
        <v>2.2999999999999998</v>
      </c>
      <c r="F91">
        <v>1.8</v>
      </c>
      <c r="G91">
        <v>0.89805500000000005</v>
      </c>
    </row>
    <row r="92" spans="1:12" x14ac:dyDescent="0.25">
      <c r="A92" t="s">
        <v>24</v>
      </c>
      <c r="B92">
        <v>257.55700000000002</v>
      </c>
      <c r="C92">
        <v>260.065</v>
      </c>
      <c r="D92">
        <v>258.81099999999998</v>
      </c>
      <c r="E92">
        <v>1.4</v>
      </c>
      <c r="F92">
        <v>1.2</v>
      </c>
      <c r="G92">
        <v>0.88711099999999998</v>
      </c>
    </row>
    <row r="93" spans="1:12" x14ac:dyDescent="0.25">
      <c r="A93" t="s">
        <v>25</v>
      </c>
      <c r="B93">
        <v>266.23599999999999</v>
      </c>
      <c r="C93">
        <v>275.70299999999997</v>
      </c>
      <c r="D93">
        <v>270.97000000000003</v>
      </c>
      <c r="E93">
        <v>7</v>
      </c>
      <c r="F93">
        <v>4.7</v>
      </c>
      <c r="G93">
        <v>0.84730399999999995</v>
      </c>
    </row>
    <row r="94" spans="1:12" x14ac:dyDescent="0.25">
      <c r="A94" t="s">
        <v>26</v>
      </c>
      <c r="B94">
        <v>288.34699999999998</v>
      </c>
      <c r="C94">
        <v>296.96300000000002</v>
      </c>
      <c r="D94">
        <v>292.65499999999997</v>
      </c>
      <c r="E94">
        <v>6.5</v>
      </c>
      <c r="F94">
        <v>8</v>
      </c>
      <c r="G94">
        <v>0.78452100000000002</v>
      </c>
    </row>
    <row r="95" spans="1:12" x14ac:dyDescent="0.25">
      <c r="A95" t="s">
        <v>27</v>
      </c>
      <c r="B95">
        <v>302.40800000000002</v>
      </c>
      <c r="C95">
        <v>306.99599999999998</v>
      </c>
      <c r="D95">
        <v>304.702</v>
      </c>
      <c r="G95">
        <v>0.75350300000000003</v>
      </c>
    </row>
    <row r="96" spans="1:12" x14ac:dyDescent="0.25">
      <c r="A96" t="s">
        <v>28</v>
      </c>
      <c r="B96">
        <v>312.14499999999998</v>
      </c>
      <c r="C96">
        <v>315.233</v>
      </c>
      <c r="D96">
        <v>313.68900000000002</v>
      </c>
      <c r="G96">
        <v>0.73191600000000001</v>
      </c>
    </row>
    <row r="97" spans="1:7" x14ac:dyDescent="0.25">
      <c r="A97">
        <v>2025</v>
      </c>
      <c r="D97">
        <f t="shared" ref="D97:D107" si="2">D96*(1+F97)</f>
        <v>323.09967</v>
      </c>
      <c r="F97" s="15">
        <f t="shared" ref="F97:F107" si="3">G$82</f>
        <v>0.03</v>
      </c>
      <c r="G97" s="21">
        <v>0.71059799999999995</v>
      </c>
    </row>
    <row r="98" spans="1:7" x14ac:dyDescent="0.25">
      <c r="A98">
        <v>2026</v>
      </c>
      <c r="D98">
        <f t="shared" si="2"/>
        <v>332.79266010000003</v>
      </c>
      <c r="F98" s="15">
        <f t="shared" si="3"/>
        <v>0.03</v>
      </c>
      <c r="G98" s="21">
        <v>0.68990099999999999</v>
      </c>
    </row>
    <row r="99" spans="1:7" x14ac:dyDescent="0.25">
      <c r="A99">
        <v>2027</v>
      </c>
      <c r="D99">
        <f t="shared" si="2"/>
        <v>342.77643990300004</v>
      </c>
      <c r="F99" s="15">
        <f t="shared" si="3"/>
        <v>0.03</v>
      </c>
      <c r="G99" s="21">
        <v>0.66980700000000004</v>
      </c>
    </row>
    <row r="100" spans="1:7" x14ac:dyDescent="0.25">
      <c r="A100">
        <v>2028</v>
      </c>
      <c r="D100">
        <f t="shared" si="2"/>
        <v>353.05973310009006</v>
      </c>
      <c r="F100" s="15">
        <f t="shared" si="3"/>
        <v>0.03</v>
      </c>
      <c r="G100" s="21">
        <v>0.65029800000000004</v>
      </c>
    </row>
    <row r="101" spans="1:7" x14ac:dyDescent="0.25">
      <c r="A101">
        <v>2029</v>
      </c>
      <c r="D101">
        <f t="shared" si="2"/>
        <v>363.65152509309274</v>
      </c>
      <c r="F101" s="15">
        <f t="shared" si="3"/>
        <v>0.03</v>
      </c>
      <c r="G101" s="21">
        <v>0.63135699999999995</v>
      </c>
    </row>
    <row r="102" spans="1:7" x14ac:dyDescent="0.25">
      <c r="A102">
        <v>2030</v>
      </c>
      <c r="D102">
        <f t="shared" si="2"/>
        <v>374.56107084588552</v>
      </c>
      <c r="F102" s="15">
        <f t="shared" si="3"/>
        <v>0.03</v>
      </c>
      <c r="G102" s="21">
        <v>0.61296799999999996</v>
      </c>
    </row>
    <row r="103" spans="1:7" x14ac:dyDescent="0.25">
      <c r="A103">
        <v>2031</v>
      </c>
      <c r="D103">
        <f t="shared" si="2"/>
        <v>385.79790297126209</v>
      </c>
      <c r="F103" s="15">
        <f t="shared" si="3"/>
        <v>0.03</v>
      </c>
      <c r="G103" s="21">
        <v>0.59511499999999995</v>
      </c>
    </row>
    <row r="104" spans="1:7" x14ac:dyDescent="0.25">
      <c r="A104">
        <v>2032</v>
      </c>
      <c r="D104">
        <f t="shared" si="2"/>
        <v>397.37184006039996</v>
      </c>
      <c r="F104" s="15">
        <f t="shared" si="3"/>
        <v>0.03</v>
      </c>
      <c r="G104" s="21">
        <v>0.57778099999999999</v>
      </c>
    </row>
    <row r="105" spans="1:7" x14ac:dyDescent="0.25">
      <c r="A105">
        <v>2033</v>
      </c>
      <c r="D105">
        <f t="shared" si="2"/>
        <v>409.29299526221195</v>
      </c>
      <c r="F105" s="15">
        <f t="shared" si="3"/>
        <v>0.03</v>
      </c>
      <c r="G105" s="21">
        <v>0.56095300000000003</v>
      </c>
    </row>
    <row r="106" spans="1:7" x14ac:dyDescent="0.25">
      <c r="A106">
        <v>2034</v>
      </c>
      <c r="D106">
        <f t="shared" si="2"/>
        <v>421.57178512007829</v>
      </c>
      <c r="F106" s="15">
        <f t="shared" si="3"/>
        <v>0.03</v>
      </c>
      <c r="G106" s="21">
        <v>0.54461400000000004</v>
      </c>
    </row>
    <row r="107" spans="1:7" x14ac:dyDescent="0.25">
      <c r="A107">
        <v>2035</v>
      </c>
      <c r="D107">
        <f t="shared" si="2"/>
        <v>434.21893867368067</v>
      </c>
      <c r="F107" s="15">
        <f t="shared" si="3"/>
        <v>0.03</v>
      </c>
      <c r="G107" s="21">
        <v>0.528752</v>
      </c>
    </row>
  </sheetData>
  <hyperlinks>
    <hyperlink ref="C13" r:id="rId1" xr:uid="{00000000-0004-0000-0100-000000000000}"/>
    <hyperlink ref="C14" r:id="rId2" xr:uid="{00000000-0004-0000-0100-000001000000}"/>
    <hyperlink ref="R18" r:id="rId3" xr:uid="{00000000-0004-0000-0100-000002000000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7"/>
  <sheetViews>
    <sheetView workbookViewId="0">
      <pane xSplit="2" ySplit="4" topLeftCell="C5" activePane="bottomRight" state="frozen"/>
      <selection pane="topRight"/>
      <selection pane="bottomLeft"/>
      <selection pane="bottomRight" activeCell="E16" sqref="E16"/>
    </sheetView>
  </sheetViews>
  <sheetFormatPr defaultRowHeight="15" x14ac:dyDescent="0.25"/>
  <cols>
    <col min="1" max="1" width="7" customWidth="1"/>
    <col min="2" max="2" width="14" customWidth="1"/>
    <col min="3" max="32" width="7" customWidth="1"/>
    <col min="33" max="35" width="40" customWidth="1"/>
  </cols>
  <sheetData>
    <row r="1" spans="1:35" x14ac:dyDescent="0.25">
      <c r="A1" s="57" t="s">
        <v>180</v>
      </c>
    </row>
    <row r="2" spans="1:35" x14ac:dyDescent="0.25">
      <c r="A2" t="s">
        <v>181</v>
      </c>
    </row>
    <row r="4" spans="1:35" x14ac:dyDescent="0.25">
      <c r="A4" s="57" t="s">
        <v>182</v>
      </c>
      <c r="B4" s="57" t="s">
        <v>31</v>
      </c>
      <c r="C4" s="58">
        <v>2021</v>
      </c>
      <c r="D4" s="58">
        <v>2022</v>
      </c>
      <c r="E4" s="58">
        <v>2023</v>
      </c>
      <c r="F4" s="58">
        <v>2024</v>
      </c>
      <c r="G4" s="58">
        <v>2025</v>
      </c>
      <c r="H4" s="58">
        <v>2026</v>
      </c>
      <c r="I4" s="58">
        <v>2027</v>
      </c>
      <c r="J4" s="58">
        <v>2028</v>
      </c>
      <c r="K4" s="58">
        <v>2029</v>
      </c>
      <c r="L4" s="58">
        <v>2030</v>
      </c>
      <c r="M4" s="58">
        <v>2031</v>
      </c>
      <c r="N4" s="58">
        <v>2032</v>
      </c>
      <c r="O4" s="58">
        <v>2033</v>
      </c>
      <c r="P4" s="58">
        <v>2034</v>
      </c>
      <c r="Q4" s="58">
        <v>2035</v>
      </c>
      <c r="R4" s="58">
        <v>2036</v>
      </c>
      <c r="S4" s="58">
        <v>2037</v>
      </c>
      <c r="T4" s="58">
        <v>2038</v>
      </c>
      <c r="U4" s="58">
        <v>2039</v>
      </c>
      <c r="V4" s="58">
        <v>2040</v>
      </c>
      <c r="W4" s="58">
        <v>2041</v>
      </c>
      <c r="X4" s="58">
        <v>2042</v>
      </c>
      <c r="Y4" s="58">
        <v>2043</v>
      </c>
      <c r="Z4" s="58">
        <v>2044</v>
      </c>
      <c r="AA4" s="58">
        <v>2045</v>
      </c>
      <c r="AB4" s="58">
        <v>2046</v>
      </c>
      <c r="AC4" s="58">
        <v>2047</v>
      </c>
      <c r="AD4" s="58">
        <v>2048</v>
      </c>
      <c r="AE4" s="58">
        <v>2049</v>
      </c>
      <c r="AF4" s="58">
        <v>2050</v>
      </c>
      <c r="AG4" s="57" t="s">
        <v>183</v>
      </c>
      <c r="AH4" s="57" t="s">
        <v>184</v>
      </c>
      <c r="AI4" s="57" t="s">
        <v>185</v>
      </c>
    </row>
    <row r="5" spans="1:35" x14ac:dyDescent="0.25">
      <c r="A5" t="s">
        <v>47</v>
      </c>
      <c r="B5" t="s">
        <v>46</v>
      </c>
      <c r="C5">
        <v>2964</v>
      </c>
      <c r="D5">
        <v>2712</v>
      </c>
      <c r="E5">
        <v>3913</v>
      </c>
      <c r="F5">
        <v>5000</v>
      </c>
      <c r="G5">
        <v>3500</v>
      </c>
      <c r="H5">
        <v>750</v>
      </c>
      <c r="I5">
        <v>750</v>
      </c>
      <c r="J5">
        <v>750</v>
      </c>
      <c r="K5">
        <v>750</v>
      </c>
      <c r="L5">
        <v>750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186</v>
      </c>
      <c r="AH5" t="s">
        <v>187</v>
      </c>
      <c r="AI5" t="s">
        <v>188</v>
      </c>
    </row>
    <row r="6" spans="1:35" x14ac:dyDescent="0.25">
      <c r="A6" t="s">
        <v>50</v>
      </c>
      <c r="B6" t="s">
        <v>49</v>
      </c>
      <c r="C6">
        <v>233</v>
      </c>
      <c r="D6">
        <v>245</v>
      </c>
      <c r="E6">
        <v>842</v>
      </c>
      <c r="F6">
        <v>706</v>
      </c>
      <c r="G6">
        <v>471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189</v>
      </c>
      <c r="AH6" t="s">
        <v>190</v>
      </c>
      <c r="AI6" t="s">
        <v>191</v>
      </c>
    </row>
    <row r="7" spans="1:35" x14ac:dyDescent="0.25">
      <c r="A7" t="s">
        <v>52</v>
      </c>
      <c r="B7" t="s">
        <v>51</v>
      </c>
      <c r="C7">
        <v>2500</v>
      </c>
      <c r="D7">
        <v>2500</v>
      </c>
      <c r="E7">
        <v>2500</v>
      </c>
      <c r="F7">
        <v>2500</v>
      </c>
      <c r="G7">
        <v>2500</v>
      </c>
      <c r="H7">
        <v>2500</v>
      </c>
      <c r="I7">
        <v>2500</v>
      </c>
      <c r="J7">
        <v>2500</v>
      </c>
      <c r="K7">
        <v>2500</v>
      </c>
      <c r="L7">
        <v>2500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192</v>
      </c>
      <c r="AH7" t="s">
        <v>187</v>
      </c>
      <c r="AI7" t="s">
        <v>193</v>
      </c>
    </row>
    <row r="8" spans="1:35" x14ac:dyDescent="0.25">
      <c r="A8" t="s">
        <v>101</v>
      </c>
      <c r="B8" t="s">
        <v>100</v>
      </c>
      <c r="C8">
        <v>910</v>
      </c>
      <c r="D8">
        <v>574</v>
      </c>
      <c r="E8">
        <v>553</v>
      </c>
      <c r="F8">
        <v>352</v>
      </c>
      <c r="G8">
        <v>352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194</v>
      </c>
      <c r="AH8" t="s">
        <v>187</v>
      </c>
      <c r="AI8" t="s">
        <v>195</v>
      </c>
    </row>
    <row r="9" spans="1:35" x14ac:dyDescent="0.25">
      <c r="A9" t="s">
        <v>123</v>
      </c>
      <c r="B9" t="s">
        <v>122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196</v>
      </c>
      <c r="AH9" t="s">
        <v>197</v>
      </c>
      <c r="AI9" t="s">
        <v>198</v>
      </c>
    </row>
    <row r="10" spans="1:35" x14ac:dyDescent="0.25">
      <c r="A10" t="s">
        <v>44</v>
      </c>
      <c r="B10" t="s">
        <v>43</v>
      </c>
      <c r="C10">
        <v>646</v>
      </c>
      <c r="D10">
        <v>338</v>
      </c>
      <c r="E10">
        <v>829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199</v>
      </c>
      <c r="AH10" t="s">
        <v>197</v>
      </c>
      <c r="AI10" t="s">
        <v>200</v>
      </c>
    </row>
    <row r="11" spans="1:35" x14ac:dyDescent="0.25">
      <c r="A11" t="s">
        <v>73</v>
      </c>
      <c r="B11" t="s">
        <v>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201</v>
      </c>
      <c r="AH11" t="s">
        <v>197</v>
      </c>
      <c r="AI11" t="s">
        <v>202</v>
      </c>
    </row>
    <row r="12" spans="1:35" x14ac:dyDescent="0.25">
      <c r="A12" t="s">
        <v>75</v>
      </c>
      <c r="B12" t="s">
        <v>74</v>
      </c>
      <c r="C12">
        <v>2000</v>
      </c>
      <c r="D12">
        <v>2000</v>
      </c>
      <c r="E12">
        <v>2000</v>
      </c>
      <c r="F12">
        <v>2000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203</v>
      </c>
      <c r="AH12" t="s">
        <v>204</v>
      </c>
      <c r="AI12" t="s">
        <v>205</v>
      </c>
    </row>
    <row r="13" spans="1:35" x14ac:dyDescent="0.25">
      <c r="A13" t="s">
        <v>83</v>
      </c>
      <c r="B13" t="s">
        <v>82</v>
      </c>
      <c r="C13">
        <v>0</v>
      </c>
      <c r="D13">
        <v>0</v>
      </c>
      <c r="E13">
        <v>2500</v>
      </c>
      <c r="F13">
        <v>2500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206</v>
      </c>
      <c r="AH13" t="s">
        <v>197</v>
      </c>
      <c r="AI13" t="s">
        <v>207</v>
      </c>
    </row>
    <row r="14" spans="1:35" x14ac:dyDescent="0.25">
      <c r="A14" t="s">
        <v>77</v>
      </c>
      <c r="B14" t="s">
        <v>76</v>
      </c>
      <c r="C14">
        <v>2500</v>
      </c>
      <c r="D14">
        <v>2500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208</v>
      </c>
      <c r="AH14" t="s">
        <v>187</v>
      </c>
      <c r="AI14" t="s">
        <v>209</v>
      </c>
    </row>
    <row r="15" spans="1:35" x14ac:dyDescent="0.25">
      <c r="A15" t="s">
        <v>79</v>
      </c>
      <c r="B15" t="s">
        <v>78</v>
      </c>
      <c r="C15">
        <v>2500</v>
      </c>
      <c r="D15">
        <v>2500</v>
      </c>
      <c r="E15">
        <v>3500</v>
      </c>
      <c r="F15">
        <v>3500</v>
      </c>
      <c r="G15">
        <v>3500</v>
      </c>
      <c r="H15">
        <v>3500</v>
      </c>
      <c r="I15">
        <v>3500</v>
      </c>
      <c r="J15">
        <v>3500</v>
      </c>
      <c r="K15">
        <v>3500</v>
      </c>
      <c r="L15">
        <v>3500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210</v>
      </c>
      <c r="AH15" t="s">
        <v>190</v>
      </c>
      <c r="AI15" t="s">
        <v>211</v>
      </c>
    </row>
    <row r="16" spans="1:35" x14ac:dyDescent="0.25">
      <c r="A16" t="s">
        <v>113</v>
      </c>
      <c r="B16" t="s">
        <v>112</v>
      </c>
      <c r="C16">
        <v>0</v>
      </c>
      <c r="D16">
        <v>0</v>
      </c>
      <c r="E16">
        <v>3000</v>
      </c>
      <c r="F16">
        <v>3000</v>
      </c>
      <c r="G16">
        <v>3000</v>
      </c>
      <c r="H16">
        <v>3000</v>
      </c>
      <c r="I16">
        <v>3000</v>
      </c>
      <c r="J16">
        <v>3000</v>
      </c>
      <c r="K16">
        <v>3000</v>
      </c>
      <c r="L16">
        <v>3000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212</v>
      </c>
      <c r="AH16" t="s">
        <v>213</v>
      </c>
      <c r="AI16" t="s">
        <v>214</v>
      </c>
    </row>
    <row r="17" spans="1:35" x14ac:dyDescent="0.25">
      <c r="A17" t="s">
        <v>115</v>
      </c>
      <c r="B17" t="s">
        <v>114</v>
      </c>
      <c r="C17">
        <v>0</v>
      </c>
      <c r="D17">
        <v>1500</v>
      </c>
      <c r="E17">
        <v>1500</v>
      </c>
      <c r="F17">
        <v>1500</v>
      </c>
      <c r="G17">
        <v>1500</v>
      </c>
      <c r="H17">
        <v>3000</v>
      </c>
      <c r="I17">
        <v>3000</v>
      </c>
      <c r="J17">
        <v>3000</v>
      </c>
      <c r="K17">
        <v>3000</v>
      </c>
      <c r="L17">
        <v>3000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215</v>
      </c>
      <c r="AH17" t="s">
        <v>190</v>
      </c>
      <c r="AI17" t="s">
        <v>216</v>
      </c>
    </row>
    <row r="18" spans="1:35" x14ac:dyDescent="0.25">
      <c r="A18" t="s">
        <v>97</v>
      </c>
      <c r="B18" t="s">
        <v>96</v>
      </c>
      <c r="C18">
        <v>2000</v>
      </c>
      <c r="D18">
        <v>2000</v>
      </c>
      <c r="E18">
        <v>2000</v>
      </c>
      <c r="F18">
        <v>2000</v>
      </c>
      <c r="G18">
        <v>2000</v>
      </c>
      <c r="H18">
        <v>1500</v>
      </c>
      <c r="I18">
        <v>1500</v>
      </c>
      <c r="J18">
        <v>1500</v>
      </c>
      <c r="K18">
        <v>1500</v>
      </c>
      <c r="L18">
        <v>1500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217</v>
      </c>
      <c r="AH18" t="s">
        <v>190</v>
      </c>
      <c r="AI18" t="s">
        <v>218</v>
      </c>
    </row>
    <row r="19" spans="1:35" x14ac:dyDescent="0.25">
      <c r="A19" t="s">
        <v>111</v>
      </c>
      <c r="B19" t="s">
        <v>110</v>
      </c>
      <c r="C19">
        <v>1842</v>
      </c>
      <c r="D19">
        <v>1571</v>
      </c>
      <c r="E19">
        <v>672</v>
      </c>
      <c r="F19">
        <v>672</v>
      </c>
      <c r="G19">
        <v>672</v>
      </c>
      <c r="H19">
        <v>2500</v>
      </c>
      <c r="I19">
        <v>2500</v>
      </c>
      <c r="J19">
        <v>2500</v>
      </c>
      <c r="K19">
        <v>2500</v>
      </c>
      <c r="L19">
        <v>2500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219</v>
      </c>
      <c r="AH19" t="s">
        <v>220</v>
      </c>
      <c r="AI19" t="s">
        <v>221</v>
      </c>
    </row>
    <row r="20" spans="1:35" x14ac:dyDescent="0.25">
      <c r="A20" t="s">
        <v>127</v>
      </c>
      <c r="B20" t="s">
        <v>126</v>
      </c>
      <c r="C20">
        <v>2200</v>
      </c>
      <c r="D20">
        <v>2200</v>
      </c>
      <c r="E20">
        <v>2200</v>
      </c>
      <c r="F20">
        <v>2200</v>
      </c>
      <c r="G20">
        <v>2200</v>
      </c>
      <c r="H20">
        <v>2500</v>
      </c>
      <c r="I20">
        <v>2500</v>
      </c>
      <c r="J20">
        <v>2500</v>
      </c>
      <c r="K20">
        <v>2500</v>
      </c>
      <c r="L20">
        <v>2500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222</v>
      </c>
      <c r="AH20" t="s">
        <v>223</v>
      </c>
      <c r="AI20" t="s">
        <v>224</v>
      </c>
    </row>
    <row r="21" spans="1:35" x14ac:dyDescent="0.25">
      <c r="A21" t="s">
        <v>63</v>
      </c>
      <c r="B21" t="s">
        <v>62</v>
      </c>
      <c r="C21">
        <v>0</v>
      </c>
      <c r="D21">
        <v>4000</v>
      </c>
      <c r="E21">
        <v>4000</v>
      </c>
      <c r="F21">
        <v>2500</v>
      </c>
      <c r="G21">
        <v>2000</v>
      </c>
      <c r="H21">
        <v>2000</v>
      </c>
      <c r="I21">
        <v>2000</v>
      </c>
      <c r="J21">
        <v>2000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225</v>
      </c>
      <c r="AH21" t="s">
        <v>226</v>
      </c>
      <c r="AI21" t="s">
        <v>227</v>
      </c>
    </row>
    <row r="22" spans="1:35" x14ac:dyDescent="0.25">
      <c r="A22" t="s">
        <v>99</v>
      </c>
      <c r="B22" t="s">
        <v>98</v>
      </c>
      <c r="C22">
        <v>0</v>
      </c>
      <c r="D22">
        <v>0</v>
      </c>
      <c r="E22">
        <v>0</v>
      </c>
      <c r="F22">
        <v>3000</v>
      </c>
      <c r="G22">
        <v>3000</v>
      </c>
      <c r="H22">
        <v>3000</v>
      </c>
      <c r="I22">
        <v>3000</v>
      </c>
      <c r="J22">
        <v>3000</v>
      </c>
      <c r="K22">
        <v>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228</v>
      </c>
      <c r="AH22" t="s">
        <v>187</v>
      </c>
      <c r="AI22" t="s">
        <v>229</v>
      </c>
    </row>
    <row r="23" spans="1:35" x14ac:dyDescent="0.25">
      <c r="A23" t="s">
        <v>131</v>
      </c>
      <c r="B23" t="s">
        <v>130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230</v>
      </c>
      <c r="AH23" t="s">
        <v>204</v>
      </c>
      <c r="AI23" t="s">
        <v>231</v>
      </c>
    </row>
    <row r="24" spans="1:35" x14ac:dyDescent="0.25">
      <c r="A24" t="s">
        <v>129</v>
      </c>
      <c r="B24" t="s">
        <v>128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232</v>
      </c>
      <c r="AH24" t="s">
        <v>197</v>
      </c>
      <c r="AI24" t="s">
        <v>233</v>
      </c>
    </row>
    <row r="27" spans="1:35" x14ac:dyDescent="0.25">
      <c r="A27" s="57" t="s">
        <v>234</v>
      </c>
      <c r="B27" s="57" t="s">
        <v>31</v>
      </c>
      <c r="C27" s="58">
        <v>2021</v>
      </c>
      <c r="D27" s="58">
        <v>2022</v>
      </c>
      <c r="E27" s="58">
        <v>2023</v>
      </c>
      <c r="F27" s="58">
        <v>2024</v>
      </c>
      <c r="G27" s="58">
        <v>2025</v>
      </c>
      <c r="H27" s="58">
        <v>2026</v>
      </c>
      <c r="I27" s="58">
        <v>2027</v>
      </c>
      <c r="J27" s="58">
        <v>2028</v>
      </c>
      <c r="K27" s="58">
        <v>2029</v>
      </c>
      <c r="L27" s="58">
        <v>2030</v>
      </c>
      <c r="M27" s="58">
        <v>2031</v>
      </c>
      <c r="N27" s="58">
        <v>2032</v>
      </c>
      <c r="O27" s="58">
        <v>2033</v>
      </c>
      <c r="P27" s="58">
        <v>2034</v>
      </c>
      <c r="Q27" s="58">
        <v>2035</v>
      </c>
      <c r="R27" s="58">
        <v>2036</v>
      </c>
      <c r="S27" s="58">
        <v>2037</v>
      </c>
      <c r="T27" s="58">
        <v>2038</v>
      </c>
      <c r="U27" s="58">
        <v>2039</v>
      </c>
      <c r="V27" s="58">
        <v>2040</v>
      </c>
      <c r="W27" s="58">
        <v>2041</v>
      </c>
      <c r="X27" s="58">
        <v>2042</v>
      </c>
      <c r="Y27" s="58">
        <v>2043</v>
      </c>
      <c r="Z27" s="58">
        <v>2044</v>
      </c>
      <c r="AA27" s="58">
        <v>2045</v>
      </c>
      <c r="AB27" s="58">
        <v>2046</v>
      </c>
      <c r="AC27" s="58">
        <v>2047</v>
      </c>
      <c r="AD27" s="58">
        <v>2048</v>
      </c>
      <c r="AE27" s="58">
        <v>2049</v>
      </c>
      <c r="AF27" s="58">
        <v>2050</v>
      </c>
      <c r="AG27" s="57" t="s">
        <v>183</v>
      </c>
      <c r="AH27" s="57" t="s">
        <v>184</v>
      </c>
      <c r="AI27" s="57" t="s">
        <v>185</v>
      </c>
    </row>
    <row r="28" spans="1:35" x14ac:dyDescent="0.25">
      <c r="A28" t="s">
        <v>47</v>
      </c>
      <c r="B28" t="s">
        <v>46</v>
      </c>
      <c r="C28">
        <v>2964</v>
      </c>
      <c r="D28">
        <v>2712</v>
      </c>
      <c r="E28">
        <v>3913</v>
      </c>
      <c r="F28">
        <v>5000</v>
      </c>
      <c r="G28">
        <v>3500</v>
      </c>
      <c r="H28">
        <v>750</v>
      </c>
      <c r="I28">
        <v>750</v>
      </c>
      <c r="J28">
        <v>750</v>
      </c>
      <c r="K28">
        <v>750</v>
      </c>
      <c r="L28">
        <v>750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186</v>
      </c>
      <c r="AH28" t="s">
        <v>187</v>
      </c>
      <c r="AI28" t="s">
        <v>188</v>
      </c>
    </row>
    <row r="29" spans="1:35" x14ac:dyDescent="0.25">
      <c r="A29" t="s">
        <v>50</v>
      </c>
      <c r="B29" t="s">
        <v>49</v>
      </c>
      <c r="C29">
        <v>183</v>
      </c>
      <c r="D29">
        <v>148</v>
      </c>
      <c r="E29">
        <v>105</v>
      </c>
      <c r="F29">
        <v>68</v>
      </c>
      <c r="G29">
        <v>68</v>
      </c>
      <c r="H29">
        <v>500</v>
      </c>
      <c r="I29">
        <v>500</v>
      </c>
      <c r="J29">
        <v>500</v>
      </c>
      <c r="K29">
        <v>500</v>
      </c>
      <c r="L29">
        <v>500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189</v>
      </c>
      <c r="AH29" t="s">
        <v>190</v>
      </c>
      <c r="AI29" t="s">
        <v>191</v>
      </c>
    </row>
    <row r="30" spans="1:35" x14ac:dyDescent="0.25">
      <c r="A30" t="s">
        <v>52</v>
      </c>
      <c r="B30" t="s">
        <v>51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192</v>
      </c>
      <c r="AH30" t="s">
        <v>187</v>
      </c>
      <c r="AI30" t="s">
        <v>193</v>
      </c>
    </row>
    <row r="31" spans="1:35" x14ac:dyDescent="0.25">
      <c r="A31" t="s">
        <v>101</v>
      </c>
      <c r="B31" t="s">
        <v>100</v>
      </c>
      <c r="C31">
        <v>696</v>
      </c>
      <c r="D31">
        <v>353</v>
      </c>
      <c r="E31">
        <v>286</v>
      </c>
      <c r="F31">
        <v>216</v>
      </c>
      <c r="G31">
        <v>216</v>
      </c>
      <c r="H31">
        <v>1000</v>
      </c>
      <c r="I31">
        <v>1000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194</v>
      </c>
      <c r="AH31" t="s">
        <v>187</v>
      </c>
      <c r="AI31" t="s">
        <v>195</v>
      </c>
    </row>
    <row r="32" spans="1:35" x14ac:dyDescent="0.25">
      <c r="A32" t="s">
        <v>123</v>
      </c>
      <c r="B32" t="s">
        <v>122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196</v>
      </c>
      <c r="AH32" t="s">
        <v>197</v>
      </c>
      <c r="AI32" t="s">
        <v>198</v>
      </c>
    </row>
    <row r="33" spans="1:35" x14ac:dyDescent="0.25">
      <c r="A33" t="s">
        <v>44</v>
      </c>
      <c r="B33" t="s">
        <v>43</v>
      </c>
      <c r="C33">
        <v>190</v>
      </c>
      <c r="D33">
        <v>84</v>
      </c>
      <c r="E33">
        <v>138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199</v>
      </c>
      <c r="AH33" t="s">
        <v>197</v>
      </c>
      <c r="AI33" t="s">
        <v>200</v>
      </c>
    </row>
    <row r="34" spans="1:35" x14ac:dyDescent="0.25">
      <c r="A34" t="s">
        <v>73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201</v>
      </c>
      <c r="AH34" t="s">
        <v>197</v>
      </c>
      <c r="AI34" t="s">
        <v>202</v>
      </c>
    </row>
    <row r="35" spans="1:35" x14ac:dyDescent="0.25">
      <c r="A35" t="s">
        <v>75</v>
      </c>
      <c r="B35" t="s">
        <v>74</v>
      </c>
      <c r="C35">
        <v>1000</v>
      </c>
      <c r="D35">
        <v>1000</v>
      </c>
      <c r="E35">
        <v>1000</v>
      </c>
      <c r="F35">
        <v>1000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203</v>
      </c>
      <c r="AH35" t="s">
        <v>204</v>
      </c>
      <c r="AI35" t="s">
        <v>205</v>
      </c>
    </row>
    <row r="36" spans="1:35" x14ac:dyDescent="0.25">
      <c r="A36" t="s">
        <v>83</v>
      </c>
      <c r="B36" t="s">
        <v>82</v>
      </c>
      <c r="C36">
        <v>0</v>
      </c>
      <c r="D36">
        <v>0</v>
      </c>
      <c r="E36">
        <v>2500</v>
      </c>
      <c r="F36">
        <v>2500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206</v>
      </c>
      <c r="AH36" t="s">
        <v>197</v>
      </c>
      <c r="AI36" t="s">
        <v>207</v>
      </c>
    </row>
    <row r="37" spans="1:35" x14ac:dyDescent="0.25">
      <c r="A37" t="s">
        <v>77</v>
      </c>
      <c r="B37" t="s">
        <v>76</v>
      </c>
      <c r="C37">
        <v>2500</v>
      </c>
      <c r="D37">
        <v>2500</v>
      </c>
      <c r="E37">
        <v>3000</v>
      </c>
      <c r="F37">
        <v>3000</v>
      </c>
      <c r="G37">
        <v>3000</v>
      </c>
      <c r="H37">
        <v>3000</v>
      </c>
      <c r="I37">
        <v>3000</v>
      </c>
      <c r="J37">
        <v>3000</v>
      </c>
      <c r="K37">
        <v>3000</v>
      </c>
      <c r="L37">
        <v>3000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208</v>
      </c>
      <c r="AH37" t="s">
        <v>187</v>
      </c>
      <c r="AI37" t="s">
        <v>209</v>
      </c>
    </row>
    <row r="38" spans="1:35" x14ac:dyDescent="0.25">
      <c r="A38" t="s">
        <v>79</v>
      </c>
      <c r="B38" t="s">
        <v>78</v>
      </c>
      <c r="C38">
        <v>2500</v>
      </c>
      <c r="D38">
        <v>2500</v>
      </c>
      <c r="E38">
        <v>1750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210</v>
      </c>
      <c r="AH38" t="s">
        <v>190</v>
      </c>
      <c r="AI38" t="s">
        <v>211</v>
      </c>
    </row>
    <row r="39" spans="1:35" x14ac:dyDescent="0.25">
      <c r="A39" t="s">
        <v>113</v>
      </c>
      <c r="B39" t="s">
        <v>112</v>
      </c>
      <c r="C39">
        <v>0</v>
      </c>
      <c r="D39">
        <v>0</v>
      </c>
      <c r="E39">
        <v>1500</v>
      </c>
      <c r="F39">
        <v>1500</v>
      </c>
      <c r="G39">
        <v>1500</v>
      </c>
      <c r="H39">
        <v>1500</v>
      </c>
      <c r="I39">
        <v>1500</v>
      </c>
      <c r="J39">
        <v>1500</v>
      </c>
      <c r="K39">
        <v>1500</v>
      </c>
      <c r="L39">
        <v>1500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212</v>
      </c>
      <c r="AH39" t="s">
        <v>213</v>
      </c>
      <c r="AI39" t="s">
        <v>214</v>
      </c>
    </row>
    <row r="40" spans="1:35" x14ac:dyDescent="0.25">
      <c r="A40" t="s">
        <v>115</v>
      </c>
      <c r="B40" t="s">
        <v>114</v>
      </c>
      <c r="C40">
        <v>0</v>
      </c>
      <c r="D40">
        <v>1000</v>
      </c>
      <c r="E40">
        <v>1000</v>
      </c>
      <c r="F40">
        <v>1000</v>
      </c>
      <c r="G40">
        <v>1000</v>
      </c>
      <c r="H40">
        <v>2000</v>
      </c>
      <c r="I40">
        <v>2000</v>
      </c>
      <c r="J40">
        <v>2000</v>
      </c>
      <c r="K40">
        <v>2000</v>
      </c>
      <c r="L40">
        <v>2000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215</v>
      </c>
      <c r="AH40" t="s">
        <v>190</v>
      </c>
      <c r="AI40" t="s">
        <v>216</v>
      </c>
    </row>
    <row r="41" spans="1:35" x14ac:dyDescent="0.25">
      <c r="A41" t="s">
        <v>97</v>
      </c>
      <c r="B41" t="s">
        <v>96</v>
      </c>
      <c r="C41">
        <v>2000</v>
      </c>
      <c r="D41">
        <v>2000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217</v>
      </c>
      <c r="AH41" t="s">
        <v>190</v>
      </c>
      <c r="AI41" t="s">
        <v>218</v>
      </c>
    </row>
    <row r="42" spans="1:35" x14ac:dyDescent="0.25">
      <c r="A42" t="s">
        <v>111</v>
      </c>
      <c r="B42" t="s">
        <v>110</v>
      </c>
      <c r="C42">
        <v>1079</v>
      </c>
      <c r="D42">
        <v>1122</v>
      </c>
      <c r="E42">
        <v>445</v>
      </c>
      <c r="F42">
        <v>445</v>
      </c>
      <c r="G42">
        <v>445</v>
      </c>
      <c r="H42">
        <v>2500</v>
      </c>
      <c r="I42">
        <v>2500</v>
      </c>
      <c r="J42">
        <v>2500</v>
      </c>
      <c r="K42">
        <v>2500</v>
      </c>
      <c r="L42">
        <v>2500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219</v>
      </c>
      <c r="AH42" t="s">
        <v>220</v>
      </c>
      <c r="AI42" t="s">
        <v>221</v>
      </c>
    </row>
    <row r="43" spans="1:35" x14ac:dyDescent="0.25">
      <c r="A43" t="s">
        <v>127</v>
      </c>
      <c r="B43" t="s">
        <v>126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1500</v>
      </c>
      <c r="I43">
        <v>1500</v>
      </c>
      <c r="J43">
        <v>1500</v>
      </c>
      <c r="K43">
        <v>1500</v>
      </c>
      <c r="L43">
        <v>1500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222</v>
      </c>
      <c r="AH43" t="s">
        <v>223</v>
      </c>
      <c r="AI43" t="s">
        <v>224</v>
      </c>
    </row>
    <row r="44" spans="1:35" x14ac:dyDescent="0.25">
      <c r="A44" t="s">
        <v>63</v>
      </c>
      <c r="B44" t="s">
        <v>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225</v>
      </c>
      <c r="AH44" t="s">
        <v>226</v>
      </c>
      <c r="AI44" t="s">
        <v>227</v>
      </c>
    </row>
    <row r="45" spans="1:35" x14ac:dyDescent="0.25">
      <c r="A45" t="s">
        <v>99</v>
      </c>
      <c r="B45" t="s">
        <v>98</v>
      </c>
      <c r="C45">
        <v>0</v>
      </c>
      <c r="D45">
        <v>0</v>
      </c>
      <c r="E45">
        <v>0</v>
      </c>
      <c r="F45">
        <v>2500</v>
      </c>
      <c r="G45">
        <v>2500</v>
      </c>
      <c r="H45">
        <v>2500</v>
      </c>
      <c r="I45">
        <v>2500</v>
      </c>
      <c r="J45">
        <v>2500</v>
      </c>
      <c r="K45">
        <v>2500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228</v>
      </c>
      <c r="AH45" t="s">
        <v>187</v>
      </c>
      <c r="AI45" t="s">
        <v>229</v>
      </c>
    </row>
    <row r="46" spans="1:35" x14ac:dyDescent="0.25">
      <c r="A46" t="s">
        <v>131</v>
      </c>
      <c r="B46" t="s">
        <v>130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230</v>
      </c>
      <c r="AH46" t="s">
        <v>204</v>
      </c>
      <c r="AI46" t="s">
        <v>231</v>
      </c>
    </row>
    <row r="47" spans="1:35" x14ac:dyDescent="0.25">
      <c r="A47" t="s">
        <v>129</v>
      </c>
      <c r="B47" t="s">
        <v>128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232</v>
      </c>
      <c r="AH47" t="s">
        <v>197</v>
      </c>
      <c r="AI47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6"/>
  <sheetViews>
    <sheetView workbookViewId="0">
      <selection activeCell="B4" sqref="B4"/>
    </sheetView>
  </sheetViews>
  <sheetFormatPr defaultColWidth="12.5703125" defaultRowHeight="15.75" customHeight="1" x14ac:dyDescent="0.2"/>
  <cols>
    <col min="1" max="1" width="51.85546875" style="21" customWidth="1"/>
    <col min="2" max="2" width="12.7109375" style="21" bestFit="1" customWidth="1"/>
    <col min="3" max="3" width="12.28515625" style="21" customWidth="1"/>
    <col min="4" max="4" width="9.5703125" style="21" customWidth="1"/>
    <col min="5" max="38" width="7.5703125" style="21" customWidth="1"/>
    <col min="39" max="39" width="12.5703125" style="21" customWidth="1"/>
    <col min="40" max="16384" width="12.5703125" style="21"/>
  </cols>
  <sheetData>
    <row r="1" spans="1:38" ht="14.25" customHeight="1" x14ac:dyDescent="0.25">
      <c r="A1" s="19" t="s">
        <v>138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92.25" customHeight="1" x14ac:dyDescent="0.25">
      <c r="A2" s="22" t="s">
        <v>139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14.25" customHeight="1" x14ac:dyDescent="0.25">
      <c r="A3" s="23" t="s">
        <v>140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14.25" customHeight="1" x14ac:dyDescent="0.25">
      <c r="A4" s="23" t="s">
        <v>141</v>
      </c>
      <c r="B4" s="33">
        <v>40000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14.25" customHeight="1" x14ac:dyDescent="0.25">
      <c r="A5" s="23" t="s">
        <v>142</v>
      </c>
      <c r="B5" s="33">
        <v>7500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4.25" customHeight="1" x14ac:dyDescent="0.25">
      <c r="A6" s="56" t="s">
        <v>143</v>
      </c>
      <c r="B6" s="23">
        <v>1</v>
      </c>
      <c r="C6" s="23">
        <v>1</v>
      </c>
      <c r="D6" s="23">
        <v>0.75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15.75" customHeight="1" x14ac:dyDescent="0.2">
      <c r="B7" s="21">
        <v>2023</v>
      </c>
      <c r="C7" s="21">
        <v>2024</v>
      </c>
      <c r="D7" s="21">
        <v>2025</v>
      </c>
      <c r="E7" s="21">
        <v>2026</v>
      </c>
      <c r="F7" s="21">
        <v>2027</v>
      </c>
      <c r="G7" s="21">
        <v>2028</v>
      </c>
      <c r="H7" s="21">
        <v>2029</v>
      </c>
      <c r="I7" s="21">
        <v>2030</v>
      </c>
      <c r="J7" s="21">
        <v>2031</v>
      </c>
      <c r="K7" s="21">
        <v>2032</v>
      </c>
    </row>
    <row r="8" spans="1:38" ht="13.15" customHeight="1" x14ac:dyDescent="0.2">
      <c r="A8" s="24" t="s">
        <v>144</v>
      </c>
      <c r="B8" s="25">
        <f t="shared" ref="B8:K8" si="0">$B$4*$B$16*C$14*B$6</f>
        <v>25920.503200000003</v>
      </c>
      <c r="C8" s="25">
        <f t="shared" si="0"/>
        <v>25177.910400000001</v>
      </c>
      <c r="D8" s="25">
        <f t="shared" si="0"/>
        <v>18333.428399999997</v>
      </c>
      <c r="E8" s="25">
        <f t="shared" si="0"/>
        <v>0</v>
      </c>
      <c r="F8" s="25">
        <f t="shared" si="0"/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</row>
    <row r="9" spans="1:38" ht="13.15" customHeight="1" x14ac:dyDescent="0.2">
      <c r="A9" s="24" t="s">
        <v>145</v>
      </c>
      <c r="B9" s="25">
        <f t="shared" ref="B9:K9" si="1">$B$4*C$14*B$6</f>
        <v>30140.120000000003</v>
      </c>
      <c r="C9" s="25">
        <f t="shared" si="1"/>
        <v>29276.639999999999</v>
      </c>
      <c r="D9" s="25">
        <f t="shared" si="1"/>
        <v>21317.94</v>
      </c>
      <c r="E9" s="25">
        <f t="shared" si="1"/>
        <v>0</v>
      </c>
      <c r="F9" s="25">
        <f t="shared" si="1"/>
        <v>0</v>
      </c>
      <c r="G9" s="25">
        <f t="shared" si="1"/>
        <v>0</v>
      </c>
      <c r="H9" s="25">
        <f t="shared" si="1"/>
        <v>0</v>
      </c>
      <c r="I9" s="25">
        <f t="shared" si="1"/>
        <v>0</v>
      </c>
      <c r="J9" s="25">
        <f t="shared" si="1"/>
        <v>0</v>
      </c>
      <c r="K9" s="25">
        <f t="shared" si="1"/>
        <v>0</v>
      </c>
    </row>
    <row r="10" spans="1:38" ht="15.75" customHeight="1" x14ac:dyDescent="0.2">
      <c r="A10" s="21" t="s">
        <v>146</v>
      </c>
      <c r="B10" s="34">
        <f t="shared" ref="B10:K10" si="2">C36*B$6</f>
        <v>9715.0655535725182</v>
      </c>
      <c r="C10" s="34">
        <f t="shared" si="2"/>
        <v>9379.5012038041405</v>
      </c>
      <c r="D10" s="34">
        <f t="shared" si="2"/>
        <v>6823.6171857956251</v>
      </c>
      <c r="E10" s="34">
        <f t="shared" si="2"/>
        <v>0</v>
      </c>
      <c r="F10" s="34">
        <f t="shared" si="2"/>
        <v>0</v>
      </c>
      <c r="G10" s="34">
        <f t="shared" si="2"/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</row>
    <row r="12" spans="1:38" ht="14.25" customHeight="1" x14ac:dyDescent="0.25">
      <c r="A12" s="19" t="s">
        <v>147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3.15" customHeight="1" x14ac:dyDescent="0.2">
      <c r="B13" s="24">
        <v>2022</v>
      </c>
      <c r="C13" s="21">
        <v>2023</v>
      </c>
      <c r="D13" s="24">
        <v>2024</v>
      </c>
      <c r="E13" s="21">
        <v>2025</v>
      </c>
      <c r="F13" s="24">
        <v>2026</v>
      </c>
      <c r="G13" s="21">
        <v>2027</v>
      </c>
      <c r="H13" s="24">
        <v>2028</v>
      </c>
      <c r="I13" s="21">
        <v>2029</v>
      </c>
      <c r="J13" s="24">
        <v>2030</v>
      </c>
      <c r="K13" s="21">
        <v>2031</v>
      </c>
      <c r="L13" s="24">
        <v>2032</v>
      </c>
    </row>
    <row r="14" spans="1:38" ht="13.15" customHeight="1" x14ac:dyDescent="0.2">
      <c r="A14" s="21" t="s">
        <v>148</v>
      </c>
      <c r="B14" s="52">
        <f t="array" ref="B14:L14">TRANSPOSE('Passenger Vehicle Calculations'!G94:G104)</f>
        <v>0.78452100000000002</v>
      </c>
      <c r="C14" s="53">
        <v>0.75350300000000003</v>
      </c>
      <c r="D14" s="53">
        <v>0.73191600000000001</v>
      </c>
      <c r="E14" s="53">
        <v>0.71059799999999995</v>
      </c>
      <c r="F14" s="53">
        <v>0.68990099999999999</v>
      </c>
      <c r="G14" s="53">
        <v>0.66980700000000004</v>
      </c>
      <c r="H14" s="53">
        <v>0.65029800000000004</v>
      </c>
      <c r="I14" s="53">
        <v>0.63135699999999995</v>
      </c>
      <c r="J14" s="53">
        <v>0.61296799999999996</v>
      </c>
      <c r="K14" s="53">
        <v>0.59511499999999995</v>
      </c>
      <c r="L14" s="53">
        <v>0.57778099999999999</v>
      </c>
    </row>
    <row r="15" spans="1:38" ht="13.15" customHeight="1" x14ac:dyDescent="0.2">
      <c r="A15" s="24"/>
    </row>
    <row r="16" spans="1:38" ht="13.15" customHeight="1" x14ac:dyDescent="0.2">
      <c r="A16" s="24" t="s">
        <v>149</v>
      </c>
      <c r="B16" s="24">
        <v>0.86</v>
      </c>
    </row>
    <row r="17" spans="1:33" ht="13.15" customHeight="1" x14ac:dyDescent="0.2">
      <c r="A17" s="24"/>
    </row>
    <row r="18" spans="1:33" ht="13.15" customHeight="1" x14ac:dyDescent="0.2"/>
    <row r="19" spans="1:33" ht="13.15" customHeight="1" x14ac:dyDescent="0.2">
      <c r="A19" s="24" t="s">
        <v>150</v>
      </c>
    </row>
    <row r="20" spans="1:33" ht="13.15" customHeight="1" x14ac:dyDescent="0.2">
      <c r="A20" s="24" t="s">
        <v>151</v>
      </c>
    </row>
    <row r="21" spans="1:33" ht="13.15" customHeight="1" x14ac:dyDescent="0.2"/>
    <row r="22" spans="1:33" ht="39.4" customHeight="1" x14ac:dyDescent="0.2">
      <c r="A22" s="24" t="s">
        <v>152</v>
      </c>
      <c r="B22" s="24" t="s">
        <v>153</v>
      </c>
      <c r="C22" s="24" t="s">
        <v>154</v>
      </c>
      <c r="D22" s="22" t="s">
        <v>155</v>
      </c>
    </row>
    <row r="23" spans="1:33" ht="26.25" customHeight="1" x14ac:dyDescent="0.2">
      <c r="A23" s="24" t="s">
        <v>156</v>
      </c>
      <c r="B23" s="26" t="s">
        <v>157</v>
      </c>
      <c r="C23" s="26" t="s">
        <v>158</v>
      </c>
      <c r="D23" s="25">
        <f>B5*B14</f>
        <v>5883.9075000000003</v>
      </c>
    </row>
    <row r="24" spans="1:33" ht="26.25" customHeight="1" x14ac:dyDescent="0.2">
      <c r="A24" s="24" t="s">
        <v>159</v>
      </c>
      <c r="B24" s="22">
        <v>3</v>
      </c>
      <c r="C24" s="26" t="s">
        <v>160</v>
      </c>
      <c r="D24" s="25">
        <f>D23</f>
        <v>5883.9075000000003</v>
      </c>
    </row>
    <row r="25" spans="1:33" ht="26.25" customHeight="1" x14ac:dyDescent="0.2">
      <c r="A25" s="24" t="s">
        <v>161</v>
      </c>
      <c r="B25" s="27">
        <v>44657</v>
      </c>
      <c r="C25" s="26" t="s">
        <v>162</v>
      </c>
      <c r="D25" s="25">
        <f>B4*B14</f>
        <v>31380.84</v>
      </c>
    </row>
    <row r="26" spans="1:33" ht="13.15" customHeight="1" x14ac:dyDescent="0.2"/>
    <row r="27" spans="1:33" ht="13.15" customHeight="1" x14ac:dyDescent="0.2">
      <c r="A27" s="24" t="s">
        <v>163</v>
      </c>
    </row>
    <row r="28" spans="1:33" ht="13.15" customHeight="1" x14ac:dyDescent="0.2">
      <c r="A28" s="28" t="s">
        <v>164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3.15" customHeight="1" x14ac:dyDescent="0.2">
      <c r="A29" s="29" t="s">
        <v>165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13.15" customHeight="1" x14ac:dyDescent="0.2">
      <c r="A30" s="29" t="s">
        <v>166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3.15" customHeight="1" x14ac:dyDescent="0.2">
      <c r="A31" s="28" t="s">
        <v>167</v>
      </c>
      <c r="B31" s="30">
        <v>2022</v>
      </c>
      <c r="C31" s="30">
        <v>2023</v>
      </c>
      <c r="D31" s="30">
        <v>2024</v>
      </c>
      <c r="E31" s="30">
        <v>2025</v>
      </c>
      <c r="F31" s="30">
        <v>2026</v>
      </c>
      <c r="G31" s="30">
        <v>2027</v>
      </c>
      <c r="H31" s="30">
        <v>2028</v>
      </c>
      <c r="I31" s="30">
        <v>2029</v>
      </c>
      <c r="J31" s="30">
        <v>2030</v>
      </c>
      <c r="K31" s="30">
        <v>2031</v>
      </c>
      <c r="L31" s="30">
        <v>2032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28"/>
      <c r="AF31" s="28"/>
    </row>
    <row r="32" spans="1:33" ht="13.15" customHeight="1" x14ac:dyDescent="0.2">
      <c r="A32" s="28" t="s">
        <v>168</v>
      </c>
      <c r="B32" s="31">
        <v>652.15881300000001</v>
      </c>
      <c r="C32" s="31">
        <v>675.13665800000001</v>
      </c>
      <c r="D32" s="31">
        <v>689.60467500000004</v>
      </c>
      <c r="E32" s="31">
        <v>691.51690699999995</v>
      </c>
      <c r="F32" s="31">
        <v>688.42425500000002</v>
      </c>
      <c r="G32" s="31">
        <v>684.18414299999995</v>
      </c>
      <c r="H32" s="31">
        <v>682.62188700000002</v>
      </c>
      <c r="I32" s="31">
        <v>679.86218299999996</v>
      </c>
      <c r="J32" s="31">
        <v>678.07775900000001</v>
      </c>
      <c r="K32" s="31">
        <v>677.36639400000001</v>
      </c>
      <c r="L32" s="31">
        <v>675.92620799999997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2"/>
      <c r="AF32" s="28"/>
    </row>
    <row r="33" spans="1:32" ht="13.15" customHeight="1" x14ac:dyDescent="0.2">
      <c r="A33" s="28" t="s">
        <v>169</v>
      </c>
      <c r="B33" s="31">
        <v>252.12297100000001</v>
      </c>
      <c r="C33" s="31">
        <v>262.199432</v>
      </c>
      <c r="D33" s="31">
        <v>276.18127399999997</v>
      </c>
      <c r="E33" s="31">
        <v>286.01892099999998</v>
      </c>
      <c r="F33" s="31">
        <v>290.46655299999998</v>
      </c>
      <c r="G33" s="31">
        <v>292.43240400000002</v>
      </c>
      <c r="H33" s="31">
        <v>293.63424700000002</v>
      </c>
      <c r="I33" s="31">
        <v>296.173248</v>
      </c>
      <c r="J33" s="31">
        <v>298.12170400000002</v>
      </c>
      <c r="K33" s="31">
        <v>300.39685100000003</v>
      </c>
      <c r="L33" s="31">
        <v>303.257294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2"/>
      <c r="AF33" s="28"/>
    </row>
    <row r="34" spans="1:32" ht="13.15" customHeight="1" x14ac:dyDescent="0.2">
      <c r="A34" s="28" t="s">
        <v>170</v>
      </c>
      <c r="B34" s="31">
        <v>180.61982699999999</v>
      </c>
      <c r="C34" s="31">
        <v>186.49350000000001</v>
      </c>
      <c r="D34" s="31">
        <v>188.82283000000001</v>
      </c>
      <c r="E34" s="31">
        <v>190.626938</v>
      </c>
      <c r="F34" s="31">
        <v>195.106979</v>
      </c>
      <c r="G34" s="31">
        <v>202.50727800000001</v>
      </c>
      <c r="H34" s="31">
        <v>207.005585</v>
      </c>
      <c r="I34" s="31">
        <v>207.12138400000001</v>
      </c>
      <c r="J34" s="31">
        <v>203.823837</v>
      </c>
      <c r="K34" s="31">
        <v>201.78428600000001</v>
      </c>
      <c r="L34" s="31">
        <v>203.63635300000001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2"/>
      <c r="AF34" s="28"/>
    </row>
    <row r="36" spans="1:32" ht="13.15" customHeight="1" x14ac:dyDescent="0.2">
      <c r="A36" s="24" t="s">
        <v>171</v>
      </c>
      <c r="B36" s="25">
        <f>SUMPRODUCT(B32:B34,$D$23:$D$25)/SUM(B32:B34)</f>
        <v>10128.763891111654</v>
      </c>
      <c r="C36" s="25">
        <f t="shared" ref="C36:L36" si="3">SUMPRODUCT(C32:C34,$D$23:$D$25)/SUM(C32:C34)*C14/$B$14</f>
        <v>9715.0655535725182</v>
      </c>
      <c r="D36" s="25">
        <f t="shared" si="3"/>
        <v>9379.5012038041405</v>
      </c>
      <c r="E36" s="25">
        <f t="shared" si="3"/>
        <v>9098.1562477275002</v>
      </c>
      <c r="F36" s="25">
        <f t="shared" si="3"/>
        <v>8900.5390107589865</v>
      </c>
      <c r="G36" s="25">
        <f t="shared" si="3"/>
        <v>8762.19780432056</v>
      </c>
      <c r="H36" s="25">
        <f t="shared" si="3"/>
        <v>8574.6400304890522</v>
      </c>
      <c r="I36" s="25">
        <f t="shared" si="3"/>
        <v>8327.2160652664807</v>
      </c>
      <c r="J36" s="25">
        <f t="shared" si="3"/>
        <v>8038.2669833722939</v>
      </c>
      <c r="K36" s="25">
        <f t="shared" si="3"/>
        <v>7772.0530756016742</v>
      </c>
      <c r="L36" s="25">
        <f t="shared" si="3"/>
        <v>7566.1908796548605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2" ht="13.15" customHeight="1" x14ac:dyDescent="0.2"/>
    <row r="38" spans="1:32" ht="13.15" customHeight="1" x14ac:dyDescent="0.2"/>
    <row r="39" spans="1:32" ht="13.15" customHeight="1" x14ac:dyDescent="0.2"/>
    <row r="40" spans="1:32" ht="13.15" customHeight="1" x14ac:dyDescent="0.2"/>
    <row r="41" spans="1:32" ht="13.15" customHeight="1" x14ac:dyDescent="0.2"/>
    <row r="42" spans="1:32" ht="13.15" customHeight="1" x14ac:dyDescent="0.2"/>
    <row r="43" spans="1:32" ht="13.15" customHeight="1" x14ac:dyDescent="0.2"/>
    <row r="44" spans="1:32" ht="13.15" customHeight="1" x14ac:dyDescent="0.2"/>
    <row r="45" spans="1:32" ht="13.15" customHeight="1" x14ac:dyDescent="0.2"/>
    <row r="46" spans="1:32" ht="13.15" customHeight="1" x14ac:dyDescent="0.2"/>
    <row r="47" spans="1:32" ht="13.15" customHeight="1" x14ac:dyDescent="0.2"/>
    <row r="48" spans="1:32" ht="13.15" customHeight="1" x14ac:dyDescent="0.2"/>
    <row r="49" ht="13.15" customHeight="1" x14ac:dyDescent="0.2"/>
    <row r="50" ht="13.15" customHeight="1" x14ac:dyDescent="0.2"/>
    <row r="51" ht="13.15" customHeight="1" x14ac:dyDescent="0.2"/>
    <row r="52" ht="13.15" customHeight="1" x14ac:dyDescent="0.2"/>
    <row r="53" ht="13.15" customHeight="1" x14ac:dyDescent="0.2"/>
    <row r="54" ht="13.15" customHeight="1" x14ac:dyDescent="0.2"/>
    <row r="55" ht="13.15" customHeight="1" x14ac:dyDescent="0.2"/>
    <row r="56" ht="13.15" customHeight="1" x14ac:dyDescent="0.2"/>
    <row r="57" ht="13.15" customHeight="1" x14ac:dyDescent="0.2"/>
    <row r="58" ht="13.15" customHeight="1" x14ac:dyDescent="0.2"/>
    <row r="59" ht="13.15" customHeight="1" x14ac:dyDescent="0.2"/>
    <row r="60" ht="13.15" customHeight="1" x14ac:dyDescent="0.2"/>
    <row r="61" ht="13.15" customHeight="1" x14ac:dyDescent="0.2"/>
    <row r="62" ht="13.15" customHeight="1" x14ac:dyDescent="0.2"/>
    <row r="63" ht="13.15" customHeight="1" x14ac:dyDescent="0.2"/>
    <row r="64" ht="13.15" customHeight="1" x14ac:dyDescent="0.2"/>
    <row r="65" ht="13.15" customHeight="1" x14ac:dyDescent="0.2"/>
    <row r="66" ht="13.15" customHeight="1" x14ac:dyDescent="0.2"/>
    <row r="67" ht="13.15" customHeight="1" x14ac:dyDescent="0.2"/>
    <row r="68" ht="13.15" customHeight="1" x14ac:dyDescent="0.2"/>
    <row r="69" ht="13.15" customHeight="1" x14ac:dyDescent="0.2"/>
    <row r="70" ht="13.15" customHeight="1" x14ac:dyDescent="0.2"/>
    <row r="71" ht="13.15" customHeight="1" x14ac:dyDescent="0.2"/>
    <row r="72" ht="13.15" customHeight="1" x14ac:dyDescent="0.2"/>
    <row r="73" ht="13.15" customHeight="1" x14ac:dyDescent="0.2"/>
    <row r="74" ht="13.15" customHeight="1" x14ac:dyDescent="0.2"/>
    <row r="75" ht="13.15" customHeight="1" x14ac:dyDescent="0.2"/>
    <row r="76" ht="13.15" customHeight="1" x14ac:dyDescent="0.2"/>
    <row r="77" ht="13.15" customHeight="1" x14ac:dyDescent="0.2"/>
    <row r="78" ht="13.15" customHeight="1" x14ac:dyDescent="0.2"/>
    <row r="79" ht="13.15" customHeight="1" x14ac:dyDescent="0.2"/>
    <row r="80" ht="13.15" customHeight="1" x14ac:dyDescent="0.2"/>
    <row r="81" ht="13.15" customHeight="1" x14ac:dyDescent="0.2"/>
    <row r="82" ht="13.15" customHeight="1" x14ac:dyDescent="0.2"/>
    <row r="83" ht="13.15" customHeight="1" x14ac:dyDescent="0.2"/>
    <row r="84" ht="13.15" customHeight="1" x14ac:dyDescent="0.2"/>
    <row r="85" ht="13.15" customHeight="1" x14ac:dyDescent="0.2"/>
    <row r="86" ht="13.15" customHeight="1" x14ac:dyDescent="0.2"/>
    <row r="87" ht="13.15" customHeight="1" x14ac:dyDescent="0.2"/>
    <row r="88" ht="13.15" customHeight="1" x14ac:dyDescent="0.2"/>
    <row r="89" ht="13.15" customHeight="1" x14ac:dyDescent="0.2"/>
    <row r="90" ht="13.15" customHeight="1" x14ac:dyDescent="0.2"/>
    <row r="91" ht="13.15" customHeight="1" x14ac:dyDescent="0.2"/>
    <row r="92" ht="13.15" customHeight="1" x14ac:dyDescent="0.2"/>
    <row r="93" ht="13.15" customHeight="1" x14ac:dyDescent="0.2"/>
    <row r="94" ht="13.15" customHeight="1" x14ac:dyDescent="0.2"/>
    <row r="95" ht="13.15" customHeight="1" x14ac:dyDescent="0.2"/>
    <row r="96" ht="13.15" customHeight="1" x14ac:dyDescent="0.2"/>
    <row r="97" ht="13.15" customHeight="1" x14ac:dyDescent="0.2"/>
    <row r="98" ht="13.15" customHeight="1" x14ac:dyDescent="0.2"/>
    <row r="99" ht="13.15" customHeight="1" x14ac:dyDescent="0.2"/>
    <row r="100" ht="13.15" customHeight="1" x14ac:dyDescent="0.2"/>
    <row r="101" ht="13.15" customHeight="1" x14ac:dyDescent="0.2"/>
    <row r="102" ht="13.15" customHeight="1" x14ac:dyDescent="0.2"/>
    <row r="103" ht="13.15" customHeight="1" x14ac:dyDescent="0.2"/>
    <row r="104" ht="13.15" customHeight="1" x14ac:dyDescent="0.2"/>
    <row r="105" ht="13.15" customHeight="1" x14ac:dyDescent="0.2"/>
    <row r="106" ht="13.15" customHeight="1" x14ac:dyDescent="0.2"/>
    <row r="107" ht="13.15" customHeight="1" x14ac:dyDescent="0.2"/>
    <row r="108" ht="13.15" customHeight="1" x14ac:dyDescent="0.2"/>
    <row r="109" ht="13.15" customHeight="1" x14ac:dyDescent="0.2"/>
    <row r="110" ht="13.15" customHeight="1" x14ac:dyDescent="0.2"/>
    <row r="111" ht="13.15" customHeight="1" x14ac:dyDescent="0.2"/>
    <row r="112" ht="13.15" customHeight="1" x14ac:dyDescent="0.2"/>
    <row r="113" ht="13.15" customHeight="1" x14ac:dyDescent="0.2"/>
    <row r="114" ht="13.15" customHeight="1" x14ac:dyDescent="0.2"/>
    <row r="115" ht="13.15" customHeight="1" x14ac:dyDescent="0.2"/>
    <row r="116" ht="13.15" customHeight="1" x14ac:dyDescent="0.2"/>
    <row r="117" ht="13.15" customHeight="1" x14ac:dyDescent="0.2"/>
    <row r="118" ht="13.15" customHeight="1" x14ac:dyDescent="0.2"/>
    <row r="119" ht="13.15" customHeight="1" x14ac:dyDescent="0.2"/>
    <row r="120" ht="13.15" customHeight="1" x14ac:dyDescent="0.2"/>
    <row r="121" ht="13.15" customHeight="1" x14ac:dyDescent="0.2"/>
    <row r="122" ht="13.15" customHeight="1" x14ac:dyDescent="0.2"/>
    <row r="123" ht="13.15" customHeight="1" x14ac:dyDescent="0.2"/>
    <row r="124" ht="13.15" customHeight="1" x14ac:dyDescent="0.2"/>
    <row r="125" ht="13.15" customHeight="1" x14ac:dyDescent="0.2"/>
    <row r="126" ht="13.15" customHeight="1" x14ac:dyDescent="0.2"/>
    <row r="127" ht="13.15" customHeight="1" x14ac:dyDescent="0.2"/>
    <row r="128" ht="13.15" customHeight="1" x14ac:dyDescent="0.2"/>
    <row r="129" ht="13.15" customHeight="1" x14ac:dyDescent="0.2"/>
    <row r="130" ht="13.15" customHeight="1" x14ac:dyDescent="0.2"/>
    <row r="131" ht="13.15" customHeight="1" x14ac:dyDescent="0.2"/>
    <row r="132" ht="13.15" customHeight="1" x14ac:dyDescent="0.2"/>
    <row r="133" ht="13.15" customHeight="1" x14ac:dyDescent="0.2"/>
    <row r="134" ht="13.15" customHeight="1" x14ac:dyDescent="0.2"/>
    <row r="135" ht="13.15" customHeight="1" x14ac:dyDescent="0.2"/>
    <row r="136" ht="13.15" customHeight="1" x14ac:dyDescent="0.2"/>
    <row r="137" ht="13.15" customHeight="1" x14ac:dyDescent="0.2"/>
    <row r="138" ht="13.15" customHeight="1" x14ac:dyDescent="0.2"/>
    <row r="139" ht="13.15" customHeight="1" x14ac:dyDescent="0.2"/>
    <row r="140" ht="13.15" customHeight="1" x14ac:dyDescent="0.2"/>
    <row r="141" ht="13.15" customHeight="1" x14ac:dyDescent="0.2"/>
    <row r="142" ht="13.15" customHeight="1" x14ac:dyDescent="0.2"/>
    <row r="143" ht="13.15" customHeight="1" x14ac:dyDescent="0.2"/>
    <row r="144" ht="13.15" customHeight="1" x14ac:dyDescent="0.2"/>
    <row r="145" ht="13.15" customHeight="1" x14ac:dyDescent="0.2"/>
    <row r="146" ht="13.15" customHeight="1" x14ac:dyDescent="0.2"/>
    <row r="147" ht="13.15" customHeight="1" x14ac:dyDescent="0.2"/>
    <row r="148" ht="13.15" customHeight="1" x14ac:dyDescent="0.2"/>
    <row r="149" ht="13.15" customHeight="1" x14ac:dyDescent="0.2"/>
    <row r="150" ht="13.15" customHeight="1" x14ac:dyDescent="0.2"/>
    <row r="151" ht="13.15" customHeight="1" x14ac:dyDescent="0.2"/>
    <row r="152" ht="13.15" customHeight="1" x14ac:dyDescent="0.2"/>
    <row r="153" ht="13.15" customHeight="1" x14ac:dyDescent="0.2"/>
    <row r="154" ht="13.15" customHeight="1" x14ac:dyDescent="0.2"/>
    <row r="155" ht="13.15" customHeight="1" x14ac:dyDescent="0.2"/>
    <row r="156" ht="13.15" customHeight="1" x14ac:dyDescent="0.2"/>
    <row r="157" ht="13.15" customHeight="1" x14ac:dyDescent="0.2"/>
    <row r="158" ht="13.15" customHeight="1" x14ac:dyDescent="0.2"/>
    <row r="159" ht="13.15" customHeight="1" x14ac:dyDescent="0.2"/>
    <row r="160" ht="13.15" customHeight="1" x14ac:dyDescent="0.2"/>
    <row r="161" ht="13.15" customHeight="1" x14ac:dyDescent="0.2"/>
    <row r="162" ht="13.15" customHeight="1" x14ac:dyDescent="0.2"/>
    <row r="163" ht="13.15" customHeight="1" x14ac:dyDescent="0.2"/>
    <row r="164" ht="13.15" customHeight="1" x14ac:dyDescent="0.2"/>
    <row r="165" ht="13.15" customHeight="1" x14ac:dyDescent="0.2"/>
    <row r="166" ht="13.15" customHeight="1" x14ac:dyDescent="0.2"/>
    <row r="167" ht="13.15" customHeight="1" x14ac:dyDescent="0.2"/>
    <row r="168" ht="13.15" customHeight="1" x14ac:dyDescent="0.2"/>
    <row r="169" ht="13.15" customHeight="1" x14ac:dyDescent="0.2"/>
    <row r="170" ht="13.15" customHeight="1" x14ac:dyDescent="0.2"/>
    <row r="171" ht="13.15" customHeight="1" x14ac:dyDescent="0.2"/>
    <row r="172" ht="13.15" customHeight="1" x14ac:dyDescent="0.2"/>
    <row r="173" ht="13.15" customHeight="1" x14ac:dyDescent="0.2"/>
    <row r="174" ht="13.15" customHeight="1" x14ac:dyDescent="0.2"/>
    <row r="175" ht="13.15" customHeight="1" x14ac:dyDescent="0.2"/>
    <row r="176" ht="13.15" customHeight="1" x14ac:dyDescent="0.2"/>
    <row r="177" ht="13.15" customHeight="1" x14ac:dyDescent="0.2"/>
    <row r="178" ht="13.15" customHeight="1" x14ac:dyDescent="0.2"/>
    <row r="179" ht="13.15" customHeight="1" x14ac:dyDescent="0.2"/>
    <row r="180" ht="13.15" customHeight="1" x14ac:dyDescent="0.2"/>
    <row r="181" ht="13.15" customHeight="1" x14ac:dyDescent="0.2"/>
    <row r="182" ht="13.15" customHeight="1" x14ac:dyDescent="0.2"/>
    <row r="183" ht="13.15" customHeight="1" x14ac:dyDescent="0.2"/>
    <row r="184" ht="13.15" customHeight="1" x14ac:dyDescent="0.2"/>
    <row r="185" ht="13.15" customHeight="1" x14ac:dyDescent="0.2"/>
    <row r="186" ht="13.15" customHeight="1" x14ac:dyDescent="0.2"/>
    <row r="187" ht="13.15" customHeight="1" x14ac:dyDescent="0.2"/>
    <row r="188" ht="13.15" customHeight="1" x14ac:dyDescent="0.2"/>
    <row r="189" ht="13.15" customHeight="1" x14ac:dyDescent="0.2"/>
    <row r="190" ht="13.15" customHeight="1" x14ac:dyDescent="0.2"/>
    <row r="191" ht="13.15" customHeight="1" x14ac:dyDescent="0.2"/>
    <row r="192" ht="13.15" customHeight="1" x14ac:dyDescent="0.2"/>
    <row r="193" ht="13.15" customHeight="1" x14ac:dyDescent="0.2"/>
    <row r="194" ht="13.15" customHeight="1" x14ac:dyDescent="0.2"/>
    <row r="195" ht="13.15" customHeight="1" x14ac:dyDescent="0.2"/>
    <row r="196" ht="13.15" customHeight="1" x14ac:dyDescent="0.2"/>
    <row r="197" ht="13.15" customHeight="1" x14ac:dyDescent="0.2"/>
    <row r="198" ht="13.15" customHeight="1" x14ac:dyDescent="0.2"/>
    <row r="199" ht="13.15" customHeight="1" x14ac:dyDescent="0.2"/>
    <row r="200" ht="13.15" customHeight="1" x14ac:dyDescent="0.2"/>
    <row r="201" ht="13.15" customHeight="1" x14ac:dyDescent="0.2"/>
    <row r="202" ht="13.15" customHeight="1" x14ac:dyDescent="0.2"/>
    <row r="203" ht="13.15" customHeight="1" x14ac:dyDescent="0.2"/>
    <row r="204" ht="13.15" customHeight="1" x14ac:dyDescent="0.2"/>
    <row r="205" ht="13.15" customHeight="1" x14ac:dyDescent="0.2"/>
    <row r="206" ht="13.15" customHeight="1" x14ac:dyDescent="0.2"/>
    <row r="207" ht="13.15" customHeight="1" x14ac:dyDescent="0.2"/>
    <row r="208" ht="13.15" customHeight="1" x14ac:dyDescent="0.2"/>
    <row r="209" ht="13.15" customHeight="1" x14ac:dyDescent="0.2"/>
    <row r="210" ht="13.15" customHeight="1" x14ac:dyDescent="0.2"/>
    <row r="211" ht="13.15" customHeight="1" x14ac:dyDescent="0.2"/>
    <row r="212" ht="13.15" customHeight="1" x14ac:dyDescent="0.2"/>
    <row r="213" ht="13.15" customHeight="1" x14ac:dyDescent="0.2"/>
    <row r="214" ht="13.15" customHeight="1" x14ac:dyDescent="0.2"/>
    <row r="215" ht="13.15" customHeight="1" x14ac:dyDescent="0.2"/>
    <row r="216" ht="13.15" customHeight="1" x14ac:dyDescent="0.2"/>
    <row r="217" ht="13.15" customHeight="1" x14ac:dyDescent="0.2"/>
    <row r="218" ht="13.15" customHeight="1" x14ac:dyDescent="0.2"/>
    <row r="219" ht="13.15" customHeight="1" x14ac:dyDescent="0.2"/>
    <row r="220" ht="13.15" customHeight="1" x14ac:dyDescent="0.2"/>
    <row r="221" ht="13.15" customHeight="1" x14ac:dyDescent="0.2"/>
    <row r="222" ht="13.15" customHeight="1" x14ac:dyDescent="0.2"/>
    <row r="223" ht="13.15" customHeight="1" x14ac:dyDescent="0.2"/>
    <row r="224" ht="13.15" customHeight="1" x14ac:dyDescent="0.2"/>
    <row r="225" ht="13.15" customHeight="1" x14ac:dyDescent="0.2"/>
    <row r="226" ht="13.15" customHeight="1" x14ac:dyDescent="0.2"/>
    <row r="227" ht="13.15" customHeight="1" x14ac:dyDescent="0.2"/>
    <row r="228" ht="13.15" customHeight="1" x14ac:dyDescent="0.2"/>
    <row r="229" ht="13.15" customHeight="1" x14ac:dyDescent="0.2"/>
    <row r="230" ht="13.15" customHeight="1" x14ac:dyDescent="0.2"/>
    <row r="231" ht="13.15" customHeight="1" x14ac:dyDescent="0.2"/>
    <row r="232" ht="13.15" customHeight="1" x14ac:dyDescent="0.2"/>
    <row r="233" ht="13.15" customHeight="1" x14ac:dyDescent="0.2"/>
    <row r="234" ht="13.15" customHeight="1" x14ac:dyDescent="0.2"/>
    <row r="235" ht="13.15" customHeight="1" x14ac:dyDescent="0.2"/>
    <row r="236" ht="13.15" customHeight="1" x14ac:dyDescent="0.2"/>
    <row r="237" ht="13.15" customHeight="1" x14ac:dyDescent="0.2"/>
    <row r="238" ht="13.15" customHeight="1" x14ac:dyDescent="0.2"/>
    <row r="239" ht="13.15" customHeight="1" x14ac:dyDescent="0.2"/>
    <row r="240" ht="13.15" customHeight="1" x14ac:dyDescent="0.2"/>
    <row r="241" ht="13.15" customHeight="1" x14ac:dyDescent="0.2"/>
    <row r="242" ht="13.15" customHeight="1" x14ac:dyDescent="0.2"/>
    <row r="243" ht="13.15" customHeight="1" x14ac:dyDescent="0.2"/>
    <row r="244" ht="13.15" customHeight="1" x14ac:dyDescent="0.2"/>
    <row r="245" ht="13.15" customHeight="1" x14ac:dyDescent="0.2"/>
    <row r="246" ht="13.15" customHeight="1" x14ac:dyDescent="0.2"/>
    <row r="247" ht="13.15" customHeight="1" x14ac:dyDescent="0.2"/>
    <row r="248" ht="13.15" customHeight="1" x14ac:dyDescent="0.2"/>
    <row r="249" ht="13.15" customHeight="1" x14ac:dyDescent="0.2"/>
    <row r="250" ht="13.15" customHeight="1" x14ac:dyDescent="0.2"/>
    <row r="251" ht="13.15" customHeight="1" x14ac:dyDescent="0.2"/>
    <row r="252" ht="13.15" customHeight="1" x14ac:dyDescent="0.2"/>
    <row r="253" ht="13.15" customHeight="1" x14ac:dyDescent="0.2"/>
    <row r="254" ht="13.15" customHeight="1" x14ac:dyDescent="0.2"/>
    <row r="255" ht="13.15" customHeight="1" x14ac:dyDescent="0.2"/>
    <row r="256" ht="13.15" customHeight="1" x14ac:dyDescent="0.2"/>
    <row r="257" ht="13.15" customHeight="1" x14ac:dyDescent="0.2"/>
    <row r="258" ht="13.15" customHeight="1" x14ac:dyDescent="0.2"/>
    <row r="259" ht="13.15" customHeight="1" x14ac:dyDescent="0.2"/>
    <row r="260" ht="13.15" customHeight="1" x14ac:dyDescent="0.2"/>
    <row r="261" ht="13.15" customHeight="1" x14ac:dyDescent="0.2"/>
    <row r="262" ht="13.15" customHeight="1" x14ac:dyDescent="0.2"/>
    <row r="263" ht="13.15" customHeight="1" x14ac:dyDescent="0.2"/>
    <row r="264" ht="13.15" customHeight="1" x14ac:dyDescent="0.2"/>
    <row r="265" ht="13.15" customHeight="1" x14ac:dyDescent="0.2"/>
    <row r="266" ht="13.15" customHeight="1" x14ac:dyDescent="0.2"/>
    <row r="267" ht="13.15" customHeight="1" x14ac:dyDescent="0.2"/>
    <row r="268" ht="13.15" customHeight="1" x14ac:dyDescent="0.2"/>
    <row r="269" ht="13.15" customHeight="1" x14ac:dyDescent="0.2"/>
    <row r="270" ht="13.15" customHeight="1" x14ac:dyDescent="0.2"/>
    <row r="271" ht="13.15" customHeight="1" x14ac:dyDescent="0.2"/>
    <row r="272" ht="13.15" customHeight="1" x14ac:dyDescent="0.2"/>
    <row r="273" ht="13.15" customHeight="1" x14ac:dyDescent="0.2"/>
    <row r="274" ht="13.15" customHeight="1" x14ac:dyDescent="0.2"/>
    <row r="275" ht="13.15" customHeight="1" x14ac:dyDescent="0.2"/>
    <row r="276" ht="13.15" customHeight="1" x14ac:dyDescent="0.2"/>
    <row r="277" ht="13.15" customHeight="1" x14ac:dyDescent="0.2"/>
    <row r="278" ht="13.15" customHeight="1" x14ac:dyDescent="0.2"/>
    <row r="279" ht="13.15" customHeight="1" x14ac:dyDescent="0.2"/>
    <row r="280" ht="13.15" customHeight="1" x14ac:dyDescent="0.2"/>
    <row r="281" ht="13.15" customHeight="1" x14ac:dyDescent="0.2"/>
    <row r="282" ht="13.15" customHeight="1" x14ac:dyDescent="0.2"/>
    <row r="283" ht="13.15" customHeight="1" x14ac:dyDescent="0.2"/>
    <row r="284" ht="13.15" customHeight="1" x14ac:dyDescent="0.2"/>
    <row r="285" ht="13.15" customHeight="1" x14ac:dyDescent="0.2"/>
    <row r="286" ht="13.15" customHeight="1" x14ac:dyDescent="0.2"/>
    <row r="287" ht="13.15" customHeight="1" x14ac:dyDescent="0.2"/>
    <row r="288" ht="13.15" customHeight="1" x14ac:dyDescent="0.2"/>
    <row r="289" ht="13.15" customHeight="1" x14ac:dyDescent="0.2"/>
    <row r="290" ht="13.15" customHeight="1" x14ac:dyDescent="0.2"/>
    <row r="291" ht="13.15" customHeight="1" x14ac:dyDescent="0.2"/>
    <row r="292" ht="13.15" customHeight="1" x14ac:dyDescent="0.2"/>
    <row r="293" ht="13.15" customHeight="1" x14ac:dyDescent="0.2"/>
    <row r="294" ht="13.15" customHeight="1" x14ac:dyDescent="0.2"/>
    <row r="295" ht="13.15" customHeight="1" x14ac:dyDescent="0.2"/>
    <row r="296" ht="13.15" customHeight="1" x14ac:dyDescent="0.2"/>
    <row r="297" ht="13.15" customHeight="1" x14ac:dyDescent="0.2"/>
    <row r="298" ht="13.15" customHeight="1" x14ac:dyDescent="0.2"/>
    <row r="299" ht="13.15" customHeight="1" x14ac:dyDescent="0.2"/>
    <row r="300" ht="13.15" customHeight="1" x14ac:dyDescent="0.2"/>
    <row r="301" ht="13.15" customHeight="1" x14ac:dyDescent="0.2"/>
    <row r="302" ht="13.15" customHeight="1" x14ac:dyDescent="0.2"/>
    <row r="303" ht="13.15" customHeight="1" x14ac:dyDescent="0.2"/>
    <row r="304" ht="13.15" customHeight="1" x14ac:dyDescent="0.2"/>
    <row r="305" ht="13.15" customHeight="1" x14ac:dyDescent="0.2"/>
    <row r="306" ht="13.15" customHeight="1" x14ac:dyDescent="0.2"/>
    <row r="307" ht="13.15" customHeight="1" x14ac:dyDescent="0.2"/>
    <row r="308" ht="13.15" customHeight="1" x14ac:dyDescent="0.2"/>
    <row r="309" ht="13.15" customHeight="1" x14ac:dyDescent="0.2"/>
    <row r="310" ht="13.15" customHeight="1" x14ac:dyDescent="0.2"/>
    <row r="311" ht="13.15" customHeight="1" x14ac:dyDescent="0.2"/>
    <row r="312" ht="13.15" customHeight="1" x14ac:dyDescent="0.2"/>
    <row r="313" ht="13.15" customHeight="1" x14ac:dyDescent="0.2"/>
    <row r="314" ht="13.15" customHeight="1" x14ac:dyDescent="0.2"/>
    <row r="315" ht="13.15" customHeight="1" x14ac:dyDescent="0.2"/>
    <row r="316" ht="13.15" customHeight="1" x14ac:dyDescent="0.2"/>
    <row r="317" ht="13.15" customHeight="1" x14ac:dyDescent="0.2"/>
    <row r="318" ht="13.15" customHeight="1" x14ac:dyDescent="0.2"/>
    <row r="319" ht="13.15" customHeight="1" x14ac:dyDescent="0.2"/>
    <row r="320" ht="13.15" customHeight="1" x14ac:dyDescent="0.2"/>
    <row r="321" ht="13.15" customHeight="1" x14ac:dyDescent="0.2"/>
    <row r="322" ht="13.15" customHeight="1" x14ac:dyDescent="0.2"/>
    <row r="323" ht="13.15" customHeight="1" x14ac:dyDescent="0.2"/>
    <row r="324" ht="13.15" customHeight="1" x14ac:dyDescent="0.2"/>
    <row r="325" ht="13.15" customHeight="1" x14ac:dyDescent="0.2"/>
    <row r="326" ht="13.15" customHeight="1" x14ac:dyDescent="0.2"/>
    <row r="327" ht="13.15" customHeight="1" x14ac:dyDescent="0.2"/>
    <row r="328" ht="13.15" customHeight="1" x14ac:dyDescent="0.2"/>
    <row r="329" ht="13.15" customHeight="1" x14ac:dyDescent="0.2"/>
    <row r="330" ht="13.15" customHeight="1" x14ac:dyDescent="0.2"/>
    <row r="331" ht="13.15" customHeight="1" x14ac:dyDescent="0.2"/>
    <row r="332" ht="13.15" customHeight="1" x14ac:dyDescent="0.2"/>
    <row r="333" ht="13.15" customHeight="1" x14ac:dyDescent="0.2"/>
    <row r="334" ht="13.15" customHeight="1" x14ac:dyDescent="0.2"/>
    <row r="335" ht="13.15" customHeight="1" x14ac:dyDescent="0.2"/>
    <row r="336" ht="13.15" customHeight="1" x14ac:dyDescent="0.2"/>
    <row r="337" ht="13.15" customHeight="1" x14ac:dyDescent="0.2"/>
    <row r="338" ht="13.15" customHeight="1" x14ac:dyDescent="0.2"/>
    <row r="339" ht="13.15" customHeight="1" x14ac:dyDescent="0.2"/>
    <row r="340" ht="13.15" customHeight="1" x14ac:dyDescent="0.2"/>
    <row r="341" ht="13.15" customHeight="1" x14ac:dyDescent="0.2"/>
    <row r="342" ht="13.15" customHeight="1" x14ac:dyDescent="0.2"/>
    <row r="343" ht="13.15" customHeight="1" x14ac:dyDescent="0.2"/>
    <row r="344" ht="13.15" customHeight="1" x14ac:dyDescent="0.2"/>
    <row r="345" ht="13.15" customHeight="1" x14ac:dyDescent="0.2"/>
    <row r="346" ht="13.15" customHeight="1" x14ac:dyDescent="0.2"/>
    <row r="347" ht="13.15" customHeight="1" x14ac:dyDescent="0.2"/>
    <row r="348" ht="13.15" customHeight="1" x14ac:dyDescent="0.2"/>
    <row r="349" ht="13.15" customHeight="1" x14ac:dyDescent="0.2"/>
    <row r="350" ht="13.15" customHeight="1" x14ac:dyDescent="0.2"/>
    <row r="351" ht="13.15" customHeight="1" x14ac:dyDescent="0.2"/>
    <row r="352" ht="13.15" customHeight="1" x14ac:dyDescent="0.2"/>
    <row r="353" ht="13.15" customHeight="1" x14ac:dyDescent="0.2"/>
    <row r="354" ht="13.15" customHeight="1" x14ac:dyDescent="0.2"/>
    <row r="355" ht="13.15" customHeight="1" x14ac:dyDescent="0.2"/>
    <row r="356" ht="13.15" customHeight="1" x14ac:dyDescent="0.2"/>
    <row r="357" ht="13.15" customHeight="1" x14ac:dyDescent="0.2"/>
    <row r="358" ht="13.15" customHeight="1" x14ac:dyDescent="0.2"/>
    <row r="359" ht="13.15" customHeight="1" x14ac:dyDescent="0.2"/>
    <row r="360" ht="13.15" customHeight="1" x14ac:dyDescent="0.2"/>
    <row r="361" ht="13.15" customHeight="1" x14ac:dyDescent="0.2"/>
    <row r="362" ht="13.15" customHeight="1" x14ac:dyDescent="0.2"/>
    <row r="363" ht="13.15" customHeight="1" x14ac:dyDescent="0.2"/>
    <row r="364" ht="13.15" customHeight="1" x14ac:dyDescent="0.2"/>
    <row r="365" ht="13.15" customHeight="1" x14ac:dyDescent="0.2"/>
    <row r="366" ht="13.15" customHeight="1" x14ac:dyDescent="0.2"/>
    <row r="367" ht="13.15" customHeight="1" x14ac:dyDescent="0.2"/>
    <row r="368" ht="13.15" customHeight="1" x14ac:dyDescent="0.2"/>
    <row r="369" ht="13.15" customHeight="1" x14ac:dyDescent="0.2"/>
    <row r="370" ht="13.15" customHeight="1" x14ac:dyDescent="0.2"/>
    <row r="371" ht="13.15" customHeight="1" x14ac:dyDescent="0.2"/>
    <row r="372" ht="13.15" customHeight="1" x14ac:dyDescent="0.2"/>
    <row r="373" ht="13.15" customHeight="1" x14ac:dyDescent="0.2"/>
    <row r="374" ht="13.15" customHeight="1" x14ac:dyDescent="0.2"/>
    <row r="375" ht="13.15" customHeight="1" x14ac:dyDescent="0.2"/>
    <row r="376" ht="13.15" customHeight="1" x14ac:dyDescent="0.2"/>
    <row r="377" ht="13.15" customHeight="1" x14ac:dyDescent="0.2"/>
    <row r="378" ht="13.15" customHeight="1" x14ac:dyDescent="0.2"/>
    <row r="379" ht="13.15" customHeight="1" x14ac:dyDescent="0.2"/>
    <row r="380" ht="13.15" customHeight="1" x14ac:dyDescent="0.2"/>
    <row r="381" ht="13.15" customHeight="1" x14ac:dyDescent="0.2"/>
    <row r="382" ht="13.15" customHeight="1" x14ac:dyDescent="0.2"/>
    <row r="383" ht="13.15" customHeight="1" x14ac:dyDescent="0.2"/>
    <row r="384" ht="13.15" customHeight="1" x14ac:dyDescent="0.2"/>
    <row r="385" ht="13.15" customHeight="1" x14ac:dyDescent="0.2"/>
    <row r="386" ht="13.15" customHeight="1" x14ac:dyDescent="0.2"/>
    <row r="387" ht="13.15" customHeight="1" x14ac:dyDescent="0.2"/>
    <row r="388" ht="13.15" customHeight="1" x14ac:dyDescent="0.2"/>
    <row r="389" ht="13.15" customHeight="1" x14ac:dyDescent="0.2"/>
    <row r="390" ht="13.15" customHeight="1" x14ac:dyDescent="0.2"/>
    <row r="391" ht="13.15" customHeight="1" x14ac:dyDescent="0.2"/>
    <row r="392" ht="13.15" customHeight="1" x14ac:dyDescent="0.2"/>
    <row r="393" ht="13.15" customHeight="1" x14ac:dyDescent="0.2"/>
    <row r="394" ht="13.15" customHeight="1" x14ac:dyDescent="0.2"/>
    <row r="395" ht="13.15" customHeight="1" x14ac:dyDescent="0.2"/>
    <row r="396" ht="13.15" customHeight="1" x14ac:dyDescent="0.2"/>
    <row r="397" ht="13.15" customHeight="1" x14ac:dyDescent="0.2"/>
    <row r="398" ht="13.15" customHeight="1" x14ac:dyDescent="0.2"/>
    <row r="399" ht="13.15" customHeight="1" x14ac:dyDescent="0.2"/>
    <row r="400" ht="13.15" customHeight="1" x14ac:dyDescent="0.2"/>
    <row r="401" ht="13.15" customHeight="1" x14ac:dyDescent="0.2"/>
    <row r="402" ht="13.15" customHeight="1" x14ac:dyDescent="0.2"/>
    <row r="403" ht="13.15" customHeight="1" x14ac:dyDescent="0.2"/>
    <row r="404" ht="13.15" customHeight="1" x14ac:dyDescent="0.2"/>
    <row r="405" ht="13.15" customHeight="1" x14ac:dyDescent="0.2"/>
    <row r="406" ht="13.15" customHeight="1" x14ac:dyDescent="0.2"/>
    <row r="407" ht="13.15" customHeight="1" x14ac:dyDescent="0.2"/>
    <row r="408" ht="13.15" customHeight="1" x14ac:dyDescent="0.2"/>
    <row r="409" ht="13.15" customHeight="1" x14ac:dyDescent="0.2"/>
    <row r="410" ht="13.15" customHeight="1" x14ac:dyDescent="0.2"/>
    <row r="411" ht="13.15" customHeight="1" x14ac:dyDescent="0.2"/>
    <row r="412" ht="13.15" customHeight="1" x14ac:dyDescent="0.2"/>
    <row r="413" ht="13.15" customHeight="1" x14ac:dyDescent="0.2"/>
    <row r="414" ht="13.15" customHeight="1" x14ac:dyDescent="0.2"/>
    <row r="415" ht="13.15" customHeight="1" x14ac:dyDescent="0.2"/>
    <row r="416" ht="13.15" customHeight="1" x14ac:dyDescent="0.2"/>
    <row r="417" ht="13.15" customHeight="1" x14ac:dyDescent="0.2"/>
    <row r="418" ht="13.15" customHeight="1" x14ac:dyDescent="0.2"/>
    <row r="419" ht="13.15" customHeight="1" x14ac:dyDescent="0.2"/>
    <row r="420" ht="13.15" customHeight="1" x14ac:dyDescent="0.2"/>
    <row r="421" ht="13.15" customHeight="1" x14ac:dyDescent="0.2"/>
    <row r="422" ht="13.15" customHeight="1" x14ac:dyDescent="0.2"/>
    <row r="423" ht="13.15" customHeight="1" x14ac:dyDescent="0.2"/>
    <row r="424" ht="13.15" customHeight="1" x14ac:dyDescent="0.2"/>
    <row r="425" ht="13.15" customHeight="1" x14ac:dyDescent="0.2"/>
    <row r="426" ht="13.15" customHeight="1" x14ac:dyDescent="0.2"/>
    <row r="427" ht="13.15" customHeight="1" x14ac:dyDescent="0.2"/>
    <row r="428" ht="13.15" customHeight="1" x14ac:dyDescent="0.2"/>
    <row r="429" ht="13.15" customHeight="1" x14ac:dyDescent="0.2"/>
    <row r="430" ht="13.15" customHeight="1" x14ac:dyDescent="0.2"/>
    <row r="431" ht="13.15" customHeight="1" x14ac:dyDescent="0.2"/>
    <row r="432" ht="13.15" customHeight="1" x14ac:dyDescent="0.2"/>
    <row r="433" ht="13.15" customHeight="1" x14ac:dyDescent="0.2"/>
    <row r="434" ht="13.15" customHeight="1" x14ac:dyDescent="0.2"/>
    <row r="435" ht="13.15" customHeight="1" x14ac:dyDescent="0.2"/>
    <row r="436" ht="13.15" customHeight="1" x14ac:dyDescent="0.2"/>
    <row r="437" ht="13.15" customHeight="1" x14ac:dyDescent="0.2"/>
    <row r="438" ht="13.15" customHeight="1" x14ac:dyDescent="0.2"/>
    <row r="439" ht="13.15" customHeight="1" x14ac:dyDescent="0.2"/>
    <row r="440" ht="13.15" customHeight="1" x14ac:dyDescent="0.2"/>
    <row r="441" ht="13.15" customHeight="1" x14ac:dyDescent="0.2"/>
    <row r="442" ht="13.15" customHeight="1" x14ac:dyDescent="0.2"/>
    <row r="443" ht="13.15" customHeight="1" x14ac:dyDescent="0.2"/>
    <row r="444" ht="13.15" customHeight="1" x14ac:dyDescent="0.2"/>
    <row r="445" ht="13.15" customHeight="1" x14ac:dyDescent="0.2"/>
    <row r="446" ht="13.15" customHeight="1" x14ac:dyDescent="0.2"/>
    <row r="447" ht="13.15" customHeight="1" x14ac:dyDescent="0.2"/>
    <row r="448" ht="13.15" customHeight="1" x14ac:dyDescent="0.2"/>
    <row r="449" ht="13.15" customHeight="1" x14ac:dyDescent="0.2"/>
    <row r="450" ht="13.15" customHeight="1" x14ac:dyDescent="0.2"/>
    <row r="451" ht="13.15" customHeight="1" x14ac:dyDescent="0.2"/>
    <row r="452" ht="13.15" customHeight="1" x14ac:dyDescent="0.2"/>
    <row r="453" ht="13.15" customHeight="1" x14ac:dyDescent="0.2"/>
    <row r="454" ht="13.15" customHeight="1" x14ac:dyDescent="0.2"/>
    <row r="455" ht="13.15" customHeight="1" x14ac:dyDescent="0.2"/>
    <row r="456" ht="13.15" customHeight="1" x14ac:dyDescent="0.2"/>
    <row r="457" ht="13.15" customHeight="1" x14ac:dyDescent="0.2"/>
    <row r="458" ht="13.15" customHeight="1" x14ac:dyDescent="0.2"/>
    <row r="459" ht="13.15" customHeight="1" x14ac:dyDescent="0.2"/>
    <row r="460" ht="13.15" customHeight="1" x14ac:dyDescent="0.2"/>
    <row r="461" ht="13.15" customHeight="1" x14ac:dyDescent="0.2"/>
    <row r="462" ht="13.15" customHeight="1" x14ac:dyDescent="0.2"/>
    <row r="463" ht="13.15" customHeight="1" x14ac:dyDescent="0.2"/>
    <row r="464" ht="13.15" customHeight="1" x14ac:dyDescent="0.2"/>
    <row r="465" ht="13.15" customHeight="1" x14ac:dyDescent="0.2"/>
    <row r="466" ht="13.15" customHeight="1" x14ac:dyDescent="0.2"/>
    <row r="467" ht="13.15" customHeight="1" x14ac:dyDescent="0.2"/>
    <row r="468" ht="13.15" customHeight="1" x14ac:dyDescent="0.2"/>
    <row r="469" ht="13.15" customHeight="1" x14ac:dyDescent="0.2"/>
    <row r="470" ht="13.15" customHeight="1" x14ac:dyDescent="0.2"/>
    <row r="471" ht="13.15" customHeight="1" x14ac:dyDescent="0.2"/>
    <row r="472" ht="13.15" customHeight="1" x14ac:dyDescent="0.2"/>
    <row r="473" ht="13.15" customHeight="1" x14ac:dyDescent="0.2"/>
    <row r="474" ht="13.15" customHeight="1" x14ac:dyDescent="0.2"/>
    <row r="475" ht="13.15" customHeight="1" x14ac:dyDescent="0.2"/>
    <row r="476" ht="13.15" customHeight="1" x14ac:dyDescent="0.2"/>
    <row r="477" ht="13.15" customHeight="1" x14ac:dyDescent="0.2"/>
    <row r="478" ht="13.15" customHeight="1" x14ac:dyDescent="0.2"/>
    <row r="479" ht="13.15" customHeight="1" x14ac:dyDescent="0.2"/>
    <row r="480" ht="13.15" customHeight="1" x14ac:dyDescent="0.2"/>
    <row r="481" ht="13.15" customHeight="1" x14ac:dyDescent="0.2"/>
    <row r="482" ht="13.15" customHeight="1" x14ac:dyDescent="0.2"/>
    <row r="483" ht="13.15" customHeight="1" x14ac:dyDescent="0.2"/>
    <row r="484" ht="13.15" customHeight="1" x14ac:dyDescent="0.2"/>
    <row r="485" ht="13.15" customHeight="1" x14ac:dyDescent="0.2"/>
    <row r="486" ht="13.15" customHeight="1" x14ac:dyDescent="0.2"/>
    <row r="487" ht="13.15" customHeight="1" x14ac:dyDescent="0.2"/>
    <row r="488" ht="13.15" customHeight="1" x14ac:dyDescent="0.2"/>
    <row r="489" ht="13.15" customHeight="1" x14ac:dyDescent="0.2"/>
    <row r="490" ht="13.15" customHeight="1" x14ac:dyDescent="0.2"/>
    <row r="491" ht="13.15" customHeight="1" x14ac:dyDescent="0.2"/>
    <row r="492" ht="13.15" customHeight="1" x14ac:dyDescent="0.2"/>
    <row r="493" ht="13.15" customHeight="1" x14ac:dyDescent="0.2"/>
    <row r="494" ht="13.15" customHeight="1" x14ac:dyDescent="0.2"/>
    <row r="495" ht="13.15" customHeight="1" x14ac:dyDescent="0.2"/>
    <row r="496" ht="13.15" customHeight="1" x14ac:dyDescent="0.2"/>
    <row r="497" ht="13.15" customHeight="1" x14ac:dyDescent="0.2"/>
    <row r="498" ht="13.15" customHeight="1" x14ac:dyDescent="0.2"/>
    <row r="499" ht="13.15" customHeight="1" x14ac:dyDescent="0.2"/>
    <row r="500" ht="13.15" customHeight="1" x14ac:dyDescent="0.2"/>
    <row r="501" ht="13.15" customHeight="1" x14ac:dyDescent="0.2"/>
    <row r="502" ht="13.15" customHeight="1" x14ac:dyDescent="0.2"/>
    <row r="503" ht="13.15" customHeight="1" x14ac:dyDescent="0.2"/>
    <row r="504" ht="13.15" customHeight="1" x14ac:dyDescent="0.2"/>
    <row r="505" ht="13.15" customHeight="1" x14ac:dyDescent="0.2"/>
    <row r="506" ht="13.15" customHeight="1" x14ac:dyDescent="0.2"/>
    <row r="507" ht="13.15" customHeight="1" x14ac:dyDescent="0.2"/>
    <row r="508" ht="13.15" customHeight="1" x14ac:dyDescent="0.2"/>
    <row r="509" ht="13.15" customHeight="1" x14ac:dyDescent="0.2"/>
    <row r="510" ht="13.15" customHeight="1" x14ac:dyDescent="0.2"/>
    <row r="511" ht="13.15" customHeight="1" x14ac:dyDescent="0.2"/>
    <row r="512" ht="13.15" customHeight="1" x14ac:dyDescent="0.2"/>
    <row r="513" ht="13.15" customHeight="1" x14ac:dyDescent="0.2"/>
    <row r="514" ht="13.15" customHeight="1" x14ac:dyDescent="0.2"/>
    <row r="515" ht="13.15" customHeight="1" x14ac:dyDescent="0.2"/>
    <row r="516" ht="13.15" customHeight="1" x14ac:dyDescent="0.2"/>
    <row r="517" ht="13.15" customHeight="1" x14ac:dyDescent="0.2"/>
    <row r="518" ht="13.15" customHeight="1" x14ac:dyDescent="0.2"/>
    <row r="519" ht="13.15" customHeight="1" x14ac:dyDescent="0.2"/>
    <row r="520" ht="13.15" customHeight="1" x14ac:dyDescent="0.2"/>
    <row r="521" ht="13.15" customHeight="1" x14ac:dyDescent="0.2"/>
    <row r="522" ht="13.15" customHeight="1" x14ac:dyDescent="0.2"/>
    <row r="523" ht="13.15" customHeight="1" x14ac:dyDescent="0.2"/>
    <row r="524" ht="13.15" customHeight="1" x14ac:dyDescent="0.2"/>
    <row r="525" ht="13.15" customHeight="1" x14ac:dyDescent="0.2"/>
    <row r="526" ht="13.15" customHeight="1" x14ac:dyDescent="0.2"/>
    <row r="527" ht="13.15" customHeight="1" x14ac:dyDescent="0.2"/>
    <row r="528" ht="13.15" customHeight="1" x14ac:dyDescent="0.2"/>
    <row r="529" ht="13.15" customHeight="1" x14ac:dyDescent="0.2"/>
    <row r="530" ht="13.15" customHeight="1" x14ac:dyDescent="0.2"/>
    <row r="531" ht="13.15" customHeight="1" x14ac:dyDescent="0.2"/>
    <row r="532" ht="13.15" customHeight="1" x14ac:dyDescent="0.2"/>
    <row r="533" ht="13.15" customHeight="1" x14ac:dyDescent="0.2"/>
    <row r="534" ht="13.15" customHeight="1" x14ac:dyDescent="0.2"/>
    <row r="535" ht="13.15" customHeight="1" x14ac:dyDescent="0.2"/>
    <row r="536" ht="13.15" customHeight="1" x14ac:dyDescent="0.2"/>
    <row r="537" ht="13.15" customHeight="1" x14ac:dyDescent="0.2"/>
    <row r="538" ht="13.15" customHeight="1" x14ac:dyDescent="0.2"/>
    <row r="539" ht="13.15" customHeight="1" x14ac:dyDescent="0.2"/>
    <row r="540" ht="13.15" customHeight="1" x14ac:dyDescent="0.2"/>
    <row r="541" ht="13.15" customHeight="1" x14ac:dyDescent="0.2"/>
    <row r="542" ht="13.15" customHeight="1" x14ac:dyDescent="0.2"/>
    <row r="543" ht="13.15" customHeight="1" x14ac:dyDescent="0.2"/>
    <row r="544" ht="13.15" customHeight="1" x14ac:dyDescent="0.2"/>
    <row r="545" ht="13.15" customHeight="1" x14ac:dyDescent="0.2"/>
    <row r="546" ht="13.15" customHeight="1" x14ac:dyDescent="0.2"/>
    <row r="547" ht="13.15" customHeight="1" x14ac:dyDescent="0.2"/>
    <row r="548" ht="13.15" customHeight="1" x14ac:dyDescent="0.2"/>
    <row r="549" ht="13.15" customHeight="1" x14ac:dyDescent="0.2"/>
    <row r="550" ht="13.15" customHeight="1" x14ac:dyDescent="0.2"/>
    <row r="551" ht="13.15" customHeight="1" x14ac:dyDescent="0.2"/>
    <row r="552" ht="13.15" customHeight="1" x14ac:dyDescent="0.2"/>
    <row r="553" ht="13.15" customHeight="1" x14ac:dyDescent="0.2"/>
    <row r="554" ht="13.15" customHeight="1" x14ac:dyDescent="0.2"/>
    <row r="555" ht="13.15" customHeight="1" x14ac:dyDescent="0.2"/>
    <row r="556" ht="13.15" customHeight="1" x14ac:dyDescent="0.2"/>
    <row r="557" ht="13.15" customHeight="1" x14ac:dyDescent="0.2"/>
    <row r="558" ht="13.15" customHeight="1" x14ac:dyDescent="0.2"/>
    <row r="559" ht="13.15" customHeight="1" x14ac:dyDescent="0.2"/>
    <row r="560" ht="13.15" customHeight="1" x14ac:dyDescent="0.2"/>
    <row r="561" ht="13.15" customHeight="1" x14ac:dyDescent="0.2"/>
    <row r="562" ht="13.15" customHeight="1" x14ac:dyDescent="0.2"/>
    <row r="563" ht="13.15" customHeight="1" x14ac:dyDescent="0.2"/>
    <row r="564" ht="13.15" customHeight="1" x14ac:dyDescent="0.2"/>
    <row r="565" ht="13.15" customHeight="1" x14ac:dyDescent="0.2"/>
    <row r="566" ht="13.15" customHeight="1" x14ac:dyDescent="0.2"/>
    <row r="567" ht="13.15" customHeight="1" x14ac:dyDescent="0.2"/>
    <row r="568" ht="13.15" customHeight="1" x14ac:dyDescent="0.2"/>
    <row r="569" ht="13.15" customHeight="1" x14ac:dyDescent="0.2"/>
    <row r="570" ht="13.15" customHeight="1" x14ac:dyDescent="0.2"/>
    <row r="571" ht="13.15" customHeight="1" x14ac:dyDescent="0.2"/>
    <row r="572" ht="13.15" customHeight="1" x14ac:dyDescent="0.2"/>
    <row r="573" ht="13.15" customHeight="1" x14ac:dyDescent="0.2"/>
    <row r="574" ht="13.15" customHeight="1" x14ac:dyDescent="0.2"/>
    <row r="575" ht="13.15" customHeight="1" x14ac:dyDescent="0.2"/>
    <row r="576" ht="13.15" customHeight="1" x14ac:dyDescent="0.2"/>
    <row r="577" ht="13.15" customHeight="1" x14ac:dyDescent="0.2"/>
    <row r="578" ht="13.15" customHeight="1" x14ac:dyDescent="0.2"/>
    <row r="579" ht="13.15" customHeight="1" x14ac:dyDescent="0.2"/>
    <row r="580" ht="13.15" customHeight="1" x14ac:dyDescent="0.2"/>
    <row r="581" ht="13.15" customHeight="1" x14ac:dyDescent="0.2"/>
    <row r="582" ht="13.15" customHeight="1" x14ac:dyDescent="0.2"/>
    <row r="583" ht="13.15" customHeight="1" x14ac:dyDescent="0.2"/>
    <row r="584" ht="13.15" customHeight="1" x14ac:dyDescent="0.2"/>
    <row r="585" ht="13.15" customHeight="1" x14ac:dyDescent="0.2"/>
    <row r="586" ht="13.15" customHeight="1" x14ac:dyDescent="0.2"/>
    <row r="587" ht="13.15" customHeight="1" x14ac:dyDescent="0.2"/>
    <row r="588" ht="13.15" customHeight="1" x14ac:dyDescent="0.2"/>
    <row r="589" ht="13.15" customHeight="1" x14ac:dyDescent="0.2"/>
    <row r="590" ht="13.15" customHeight="1" x14ac:dyDescent="0.2"/>
    <row r="591" ht="13.15" customHeight="1" x14ac:dyDescent="0.2"/>
    <row r="592" ht="13.15" customHeight="1" x14ac:dyDescent="0.2"/>
    <row r="593" ht="13.15" customHeight="1" x14ac:dyDescent="0.2"/>
    <row r="594" ht="13.15" customHeight="1" x14ac:dyDescent="0.2"/>
    <row r="595" ht="13.15" customHeight="1" x14ac:dyDescent="0.2"/>
    <row r="596" ht="13.15" customHeight="1" x14ac:dyDescent="0.2"/>
    <row r="597" ht="13.15" customHeight="1" x14ac:dyDescent="0.2"/>
    <row r="598" ht="13.15" customHeight="1" x14ac:dyDescent="0.2"/>
    <row r="599" ht="13.15" customHeight="1" x14ac:dyDescent="0.2"/>
    <row r="600" ht="13.15" customHeight="1" x14ac:dyDescent="0.2"/>
    <row r="601" ht="13.15" customHeight="1" x14ac:dyDescent="0.2"/>
    <row r="602" ht="13.15" customHeight="1" x14ac:dyDescent="0.2"/>
    <row r="603" ht="13.15" customHeight="1" x14ac:dyDescent="0.2"/>
    <row r="604" ht="13.15" customHeight="1" x14ac:dyDescent="0.2"/>
    <row r="605" ht="13.15" customHeight="1" x14ac:dyDescent="0.2"/>
    <row r="606" ht="13.15" customHeight="1" x14ac:dyDescent="0.2"/>
    <row r="607" ht="13.15" customHeight="1" x14ac:dyDescent="0.2"/>
    <row r="608" ht="13.15" customHeight="1" x14ac:dyDescent="0.2"/>
    <row r="609" ht="13.15" customHeight="1" x14ac:dyDescent="0.2"/>
    <row r="610" ht="13.15" customHeight="1" x14ac:dyDescent="0.2"/>
    <row r="611" ht="13.15" customHeight="1" x14ac:dyDescent="0.2"/>
    <row r="612" ht="13.15" customHeight="1" x14ac:dyDescent="0.2"/>
    <row r="613" ht="13.15" customHeight="1" x14ac:dyDescent="0.2"/>
    <row r="614" ht="13.15" customHeight="1" x14ac:dyDescent="0.2"/>
    <row r="615" ht="13.15" customHeight="1" x14ac:dyDescent="0.2"/>
    <row r="616" ht="13.15" customHeight="1" x14ac:dyDescent="0.2"/>
    <row r="617" ht="13.15" customHeight="1" x14ac:dyDescent="0.2"/>
    <row r="618" ht="13.15" customHeight="1" x14ac:dyDescent="0.2"/>
    <row r="619" ht="13.15" customHeight="1" x14ac:dyDescent="0.2"/>
    <row r="620" ht="13.15" customHeight="1" x14ac:dyDescent="0.2"/>
    <row r="621" ht="13.15" customHeight="1" x14ac:dyDescent="0.2"/>
    <row r="622" ht="13.15" customHeight="1" x14ac:dyDescent="0.2"/>
    <row r="623" ht="13.15" customHeight="1" x14ac:dyDescent="0.2"/>
    <row r="624" ht="13.15" customHeight="1" x14ac:dyDescent="0.2"/>
    <row r="625" ht="13.15" customHeight="1" x14ac:dyDescent="0.2"/>
    <row r="626" ht="13.15" customHeight="1" x14ac:dyDescent="0.2"/>
    <row r="627" ht="13.15" customHeight="1" x14ac:dyDescent="0.2"/>
    <row r="628" ht="13.15" customHeight="1" x14ac:dyDescent="0.2"/>
    <row r="629" ht="13.15" customHeight="1" x14ac:dyDescent="0.2"/>
    <row r="630" ht="13.15" customHeight="1" x14ac:dyDescent="0.2"/>
    <row r="631" ht="13.15" customHeight="1" x14ac:dyDescent="0.2"/>
    <row r="632" ht="13.15" customHeight="1" x14ac:dyDescent="0.2"/>
    <row r="633" ht="13.15" customHeight="1" x14ac:dyDescent="0.2"/>
    <row r="634" ht="13.15" customHeight="1" x14ac:dyDescent="0.2"/>
    <row r="635" ht="13.15" customHeight="1" x14ac:dyDescent="0.2"/>
    <row r="636" ht="13.15" customHeight="1" x14ac:dyDescent="0.2"/>
    <row r="637" ht="13.15" customHeight="1" x14ac:dyDescent="0.2"/>
    <row r="638" ht="13.15" customHeight="1" x14ac:dyDescent="0.2"/>
    <row r="639" ht="13.15" customHeight="1" x14ac:dyDescent="0.2"/>
    <row r="640" ht="13.15" customHeight="1" x14ac:dyDescent="0.2"/>
    <row r="641" ht="13.15" customHeight="1" x14ac:dyDescent="0.2"/>
    <row r="642" ht="13.15" customHeight="1" x14ac:dyDescent="0.2"/>
    <row r="643" ht="13.15" customHeight="1" x14ac:dyDescent="0.2"/>
    <row r="644" ht="13.15" customHeight="1" x14ac:dyDescent="0.2"/>
    <row r="645" ht="13.15" customHeight="1" x14ac:dyDescent="0.2"/>
    <row r="646" ht="13.15" customHeight="1" x14ac:dyDescent="0.2"/>
    <row r="647" ht="13.15" customHeight="1" x14ac:dyDescent="0.2"/>
    <row r="648" ht="13.15" customHeight="1" x14ac:dyDescent="0.2"/>
    <row r="649" ht="13.15" customHeight="1" x14ac:dyDescent="0.2"/>
    <row r="650" ht="13.15" customHeight="1" x14ac:dyDescent="0.2"/>
    <row r="651" ht="13.15" customHeight="1" x14ac:dyDescent="0.2"/>
    <row r="652" ht="13.15" customHeight="1" x14ac:dyDescent="0.2"/>
    <row r="653" ht="13.15" customHeight="1" x14ac:dyDescent="0.2"/>
    <row r="654" ht="13.15" customHeight="1" x14ac:dyDescent="0.2"/>
    <row r="655" ht="13.15" customHeight="1" x14ac:dyDescent="0.2"/>
    <row r="656" ht="13.15" customHeight="1" x14ac:dyDescent="0.2"/>
    <row r="657" ht="13.15" customHeight="1" x14ac:dyDescent="0.2"/>
    <row r="658" ht="13.15" customHeight="1" x14ac:dyDescent="0.2"/>
    <row r="659" ht="13.15" customHeight="1" x14ac:dyDescent="0.2"/>
    <row r="660" ht="13.15" customHeight="1" x14ac:dyDescent="0.2"/>
    <row r="661" ht="13.15" customHeight="1" x14ac:dyDescent="0.2"/>
    <row r="662" ht="13.15" customHeight="1" x14ac:dyDescent="0.2"/>
    <row r="663" ht="13.15" customHeight="1" x14ac:dyDescent="0.2"/>
    <row r="664" ht="13.15" customHeight="1" x14ac:dyDescent="0.2"/>
    <row r="665" ht="13.15" customHeight="1" x14ac:dyDescent="0.2"/>
    <row r="666" ht="13.15" customHeight="1" x14ac:dyDescent="0.2"/>
    <row r="667" ht="13.15" customHeight="1" x14ac:dyDescent="0.2"/>
    <row r="668" ht="13.15" customHeight="1" x14ac:dyDescent="0.2"/>
    <row r="669" ht="13.15" customHeight="1" x14ac:dyDescent="0.2"/>
    <row r="670" ht="13.15" customHeight="1" x14ac:dyDescent="0.2"/>
    <row r="671" ht="13.15" customHeight="1" x14ac:dyDescent="0.2"/>
    <row r="672" ht="13.15" customHeight="1" x14ac:dyDescent="0.2"/>
    <row r="673" ht="13.15" customHeight="1" x14ac:dyDescent="0.2"/>
    <row r="674" ht="13.15" customHeight="1" x14ac:dyDescent="0.2"/>
    <row r="675" ht="13.15" customHeight="1" x14ac:dyDescent="0.2"/>
    <row r="676" ht="13.15" customHeight="1" x14ac:dyDescent="0.2"/>
    <row r="677" ht="13.15" customHeight="1" x14ac:dyDescent="0.2"/>
    <row r="678" ht="13.15" customHeight="1" x14ac:dyDescent="0.2"/>
    <row r="679" ht="13.15" customHeight="1" x14ac:dyDescent="0.2"/>
    <row r="680" ht="13.15" customHeight="1" x14ac:dyDescent="0.2"/>
    <row r="681" ht="13.15" customHeight="1" x14ac:dyDescent="0.2"/>
    <row r="682" ht="13.15" customHeight="1" x14ac:dyDescent="0.2"/>
    <row r="683" ht="13.15" customHeight="1" x14ac:dyDescent="0.2"/>
    <row r="684" ht="13.15" customHeight="1" x14ac:dyDescent="0.2"/>
    <row r="685" ht="13.15" customHeight="1" x14ac:dyDescent="0.2"/>
    <row r="686" ht="13.15" customHeight="1" x14ac:dyDescent="0.2"/>
    <row r="687" ht="13.15" customHeight="1" x14ac:dyDescent="0.2"/>
    <row r="688" ht="13.15" customHeight="1" x14ac:dyDescent="0.2"/>
    <row r="689" ht="13.15" customHeight="1" x14ac:dyDescent="0.2"/>
    <row r="690" ht="13.15" customHeight="1" x14ac:dyDescent="0.2"/>
    <row r="691" ht="13.15" customHeight="1" x14ac:dyDescent="0.2"/>
    <row r="692" ht="13.15" customHeight="1" x14ac:dyDescent="0.2"/>
    <row r="693" ht="13.15" customHeight="1" x14ac:dyDescent="0.2"/>
    <row r="694" ht="13.15" customHeight="1" x14ac:dyDescent="0.2"/>
    <row r="695" ht="13.15" customHeight="1" x14ac:dyDescent="0.2"/>
    <row r="696" ht="13.15" customHeight="1" x14ac:dyDescent="0.2"/>
    <row r="697" ht="13.15" customHeight="1" x14ac:dyDescent="0.2"/>
    <row r="698" ht="13.15" customHeight="1" x14ac:dyDescent="0.2"/>
    <row r="699" ht="13.15" customHeight="1" x14ac:dyDescent="0.2"/>
    <row r="700" ht="13.15" customHeight="1" x14ac:dyDescent="0.2"/>
    <row r="701" ht="13.15" customHeight="1" x14ac:dyDescent="0.2"/>
    <row r="702" ht="13.15" customHeight="1" x14ac:dyDescent="0.2"/>
    <row r="703" ht="13.15" customHeight="1" x14ac:dyDescent="0.2"/>
    <row r="704" ht="13.15" customHeight="1" x14ac:dyDescent="0.2"/>
    <row r="705" ht="13.15" customHeight="1" x14ac:dyDescent="0.2"/>
    <row r="706" ht="13.15" customHeight="1" x14ac:dyDescent="0.2"/>
    <row r="707" ht="13.15" customHeight="1" x14ac:dyDescent="0.2"/>
    <row r="708" ht="13.15" customHeight="1" x14ac:dyDescent="0.2"/>
    <row r="709" ht="13.15" customHeight="1" x14ac:dyDescent="0.2"/>
    <row r="710" ht="13.15" customHeight="1" x14ac:dyDescent="0.2"/>
    <row r="711" ht="13.15" customHeight="1" x14ac:dyDescent="0.2"/>
    <row r="712" ht="13.15" customHeight="1" x14ac:dyDescent="0.2"/>
    <row r="713" ht="13.15" customHeight="1" x14ac:dyDescent="0.2"/>
    <row r="714" ht="13.15" customHeight="1" x14ac:dyDescent="0.2"/>
    <row r="715" ht="13.15" customHeight="1" x14ac:dyDescent="0.2"/>
    <row r="716" ht="13.15" customHeight="1" x14ac:dyDescent="0.2"/>
    <row r="717" ht="13.15" customHeight="1" x14ac:dyDescent="0.2"/>
    <row r="718" ht="13.15" customHeight="1" x14ac:dyDescent="0.2"/>
    <row r="719" ht="13.15" customHeight="1" x14ac:dyDescent="0.2"/>
    <row r="720" ht="13.15" customHeight="1" x14ac:dyDescent="0.2"/>
    <row r="721" ht="13.15" customHeight="1" x14ac:dyDescent="0.2"/>
    <row r="722" ht="13.15" customHeight="1" x14ac:dyDescent="0.2"/>
    <row r="723" ht="13.15" customHeight="1" x14ac:dyDescent="0.2"/>
    <row r="724" ht="13.15" customHeight="1" x14ac:dyDescent="0.2"/>
    <row r="725" ht="13.15" customHeight="1" x14ac:dyDescent="0.2"/>
    <row r="726" ht="13.15" customHeight="1" x14ac:dyDescent="0.2"/>
    <row r="727" ht="13.15" customHeight="1" x14ac:dyDescent="0.2"/>
    <row r="728" ht="13.15" customHeight="1" x14ac:dyDescent="0.2"/>
    <row r="729" ht="13.15" customHeight="1" x14ac:dyDescent="0.2"/>
    <row r="730" ht="13.15" customHeight="1" x14ac:dyDescent="0.2"/>
    <row r="731" ht="13.15" customHeight="1" x14ac:dyDescent="0.2"/>
    <row r="732" ht="13.15" customHeight="1" x14ac:dyDescent="0.2"/>
    <row r="733" ht="13.15" customHeight="1" x14ac:dyDescent="0.2"/>
    <row r="734" ht="13.15" customHeight="1" x14ac:dyDescent="0.2"/>
    <row r="735" ht="13.15" customHeight="1" x14ac:dyDescent="0.2"/>
    <row r="736" ht="13.15" customHeight="1" x14ac:dyDescent="0.2"/>
    <row r="737" ht="13.15" customHeight="1" x14ac:dyDescent="0.2"/>
    <row r="738" ht="13.15" customHeight="1" x14ac:dyDescent="0.2"/>
    <row r="739" ht="13.15" customHeight="1" x14ac:dyDescent="0.2"/>
    <row r="740" ht="13.15" customHeight="1" x14ac:dyDescent="0.2"/>
    <row r="741" ht="13.15" customHeight="1" x14ac:dyDescent="0.2"/>
    <row r="742" ht="13.15" customHeight="1" x14ac:dyDescent="0.2"/>
    <row r="743" ht="13.15" customHeight="1" x14ac:dyDescent="0.2"/>
    <row r="744" ht="13.15" customHeight="1" x14ac:dyDescent="0.2"/>
    <row r="745" ht="13.15" customHeight="1" x14ac:dyDescent="0.2"/>
    <row r="746" ht="13.15" customHeight="1" x14ac:dyDescent="0.2"/>
    <row r="747" ht="13.15" customHeight="1" x14ac:dyDescent="0.2"/>
    <row r="748" ht="13.15" customHeight="1" x14ac:dyDescent="0.2"/>
    <row r="749" ht="13.15" customHeight="1" x14ac:dyDescent="0.2"/>
    <row r="750" ht="13.15" customHeight="1" x14ac:dyDescent="0.2"/>
    <row r="751" ht="13.15" customHeight="1" x14ac:dyDescent="0.2"/>
    <row r="752" ht="13.15" customHeight="1" x14ac:dyDescent="0.2"/>
    <row r="753" ht="13.15" customHeight="1" x14ac:dyDescent="0.2"/>
    <row r="754" ht="13.15" customHeight="1" x14ac:dyDescent="0.2"/>
    <row r="755" ht="13.15" customHeight="1" x14ac:dyDescent="0.2"/>
    <row r="756" ht="13.15" customHeight="1" x14ac:dyDescent="0.2"/>
    <row r="757" ht="13.15" customHeight="1" x14ac:dyDescent="0.2"/>
    <row r="758" ht="13.15" customHeight="1" x14ac:dyDescent="0.2"/>
    <row r="759" ht="13.15" customHeight="1" x14ac:dyDescent="0.2"/>
    <row r="760" ht="13.15" customHeight="1" x14ac:dyDescent="0.2"/>
    <row r="761" ht="13.15" customHeight="1" x14ac:dyDescent="0.2"/>
    <row r="762" ht="13.15" customHeight="1" x14ac:dyDescent="0.2"/>
    <row r="763" ht="13.15" customHeight="1" x14ac:dyDescent="0.2"/>
    <row r="764" ht="13.15" customHeight="1" x14ac:dyDescent="0.2"/>
    <row r="765" ht="13.15" customHeight="1" x14ac:dyDescent="0.2"/>
    <row r="766" ht="13.15" customHeight="1" x14ac:dyDescent="0.2"/>
    <row r="767" ht="13.15" customHeight="1" x14ac:dyDescent="0.2"/>
    <row r="768" ht="13.15" customHeight="1" x14ac:dyDescent="0.2"/>
    <row r="769" ht="13.15" customHeight="1" x14ac:dyDescent="0.2"/>
    <row r="770" ht="13.15" customHeight="1" x14ac:dyDescent="0.2"/>
    <row r="771" ht="13.15" customHeight="1" x14ac:dyDescent="0.2"/>
    <row r="772" ht="13.15" customHeight="1" x14ac:dyDescent="0.2"/>
    <row r="773" ht="13.15" customHeight="1" x14ac:dyDescent="0.2"/>
    <row r="774" ht="13.15" customHeight="1" x14ac:dyDescent="0.2"/>
    <row r="775" ht="13.15" customHeight="1" x14ac:dyDescent="0.2"/>
    <row r="776" ht="13.1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E8"/>
  <sheetViews>
    <sheetView workbookViewId="0">
      <selection activeCell="L18" sqref="L18"/>
    </sheetView>
  </sheetViews>
  <sheetFormatPr defaultColWidth="8.85546875" defaultRowHeight="15" x14ac:dyDescent="0.25"/>
  <cols>
    <col min="1" max="1" width="25.140625" customWidth="1"/>
    <col min="2" max="2" width="9.57031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 s="17">
        <f>'Passenger Vehicle Calculations'!C68</f>
        <v>2417.5447524797287</v>
      </c>
      <c r="C2" s="17">
        <f>'Passenger Vehicle Calculations'!D68</f>
        <v>1818.9008110401332</v>
      </c>
      <c r="D2" s="17">
        <f>'Passenger Vehicle Calculations'!E68</f>
        <v>5212.6508156176633</v>
      </c>
      <c r="E2" s="17">
        <f>'Passenger Vehicle Calculations'!F68</f>
        <v>3813.1221338516089</v>
      </c>
      <c r="F2" s="17">
        <f>'Passenger Vehicle Calculations'!G68</f>
        <v>2775.2505550587362</v>
      </c>
      <c r="G2" s="17">
        <f>'Passenger Vehicle Calculations'!H68</f>
        <v>1370.3019999999999</v>
      </c>
      <c r="H2" s="17">
        <f>'Passenger Vehicle Calculations'!I68</f>
        <v>1332.9780000000001</v>
      </c>
      <c r="I2" s="17">
        <f>'Passenger Vehicle Calculations'!J68</f>
        <v>1296.6679999999999</v>
      </c>
      <c r="J2" s="17">
        <f>'Passenger Vehicle Calculations'!K68</f>
        <v>1261.3499999999999</v>
      </c>
      <c r="K2" s="17">
        <f>'Passenger Vehicle Calculations'!L68</f>
        <v>1226.9939999999999</v>
      </c>
      <c r="L2" s="17">
        <f>'Passenger Vehicle Calculations'!M68</f>
        <v>0</v>
      </c>
      <c r="M2" s="17">
        <f>'Passenger Vehicle Calculations'!N68</f>
        <v>0</v>
      </c>
      <c r="N2" s="17">
        <f>'Passenger Vehicle Calculations'!O68</f>
        <v>0</v>
      </c>
      <c r="O2" s="17">
        <f>'Passenger Vehicle Calculations'!P68</f>
        <v>0</v>
      </c>
      <c r="P2" s="17">
        <f>'Passenger Vehicle Calculations'!Q68</f>
        <v>0</v>
      </c>
      <c r="Q2" s="17">
        <f>'Passenger Vehicle Calculations'!R68</f>
        <v>0</v>
      </c>
      <c r="R2" s="17">
        <f>'Passenger Vehicle Calculations'!S68</f>
        <v>0</v>
      </c>
      <c r="S2" s="17">
        <f>'Passenger Vehicle Calculations'!T68</f>
        <v>0</v>
      </c>
      <c r="T2" s="17">
        <f>'Passenger Vehicle Calculations'!U68</f>
        <v>0</v>
      </c>
      <c r="U2" s="17">
        <f>'Passenger Vehicle Calculations'!V68</f>
        <v>0</v>
      </c>
      <c r="V2" s="17">
        <f>'Passenger Vehicle Calculations'!W68</f>
        <v>0</v>
      </c>
      <c r="W2" s="17">
        <f>'Passenger Vehicle Calculations'!X68</f>
        <v>0</v>
      </c>
      <c r="X2" s="17">
        <f>'Passenger Vehicle Calculations'!Y68</f>
        <v>0</v>
      </c>
      <c r="Y2" s="17">
        <f>'Passenger Vehicle Calculations'!Z68</f>
        <v>0</v>
      </c>
      <c r="Z2" s="17">
        <f>'Passenger Vehicle Calculations'!AA68</f>
        <v>0</v>
      </c>
      <c r="AA2" s="17">
        <f>'Passenger Vehicle Calculations'!AB68</f>
        <v>0</v>
      </c>
      <c r="AB2" s="17">
        <f>'Passenger Vehicle Calculations'!AC68</f>
        <v>0</v>
      </c>
      <c r="AC2" s="17">
        <f>'Passenger Vehicle Calculations'!AD68</f>
        <v>0</v>
      </c>
      <c r="AD2" s="17">
        <f>'Passenger Vehicle Calculations'!AE68</f>
        <v>0</v>
      </c>
      <c r="AE2" s="17">
        <f>'Passenger Vehicle Calculations'!AF68</f>
        <v>0</v>
      </c>
    </row>
    <row r="3" spans="1:31" x14ac:dyDescent="0.25">
      <c r="A3" t="s">
        <v>174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</row>
    <row r="4" spans="1:31" x14ac:dyDescent="0.25">
      <c r="A4" t="s">
        <v>175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</row>
    <row r="5" spans="1:31" x14ac:dyDescent="0.25">
      <c r="A5" t="s">
        <v>176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1" x14ac:dyDescent="0.25">
      <c r="A6" t="s">
        <v>177</v>
      </c>
      <c r="B6" s="17">
        <f>'Passenger Vehicle Calculations'!C69</f>
        <v>7242.4421008992285</v>
      </c>
      <c r="C6" s="17">
        <f>'Passenger Vehicle Calculations'!D69</f>
        <v>3893.9866059789028</v>
      </c>
      <c r="D6" s="17">
        <f>'Passenger Vehicle Calculations'!E69</f>
        <v>3696.7001802883342</v>
      </c>
      <c r="E6" s="17">
        <f>'Passenger Vehicle Calculations'!F69</f>
        <v>3004.6161945773729</v>
      </c>
      <c r="F6" s="17">
        <f>'Passenger Vehicle Calculations'!G69</f>
        <v>1951.1758892476912</v>
      </c>
      <c r="G6" s="17">
        <f>'Passenger Vehicle Calculations'!H69</f>
        <v>685.15099999999995</v>
      </c>
      <c r="H6" s="17">
        <f>'Passenger Vehicle Calculations'!I69</f>
        <v>666.48900000000003</v>
      </c>
      <c r="I6" s="17">
        <f>'Passenger Vehicle Calculations'!J69</f>
        <v>648.33399999999995</v>
      </c>
      <c r="J6" s="17">
        <f>'Passenger Vehicle Calculations'!K69</f>
        <v>630.67499999999995</v>
      </c>
      <c r="K6" s="17">
        <f>'Passenger Vehicle Calculations'!L69</f>
        <v>613.49699999999996</v>
      </c>
      <c r="L6" s="17">
        <f>'Passenger Vehicle Calculations'!M69</f>
        <v>0</v>
      </c>
      <c r="M6" s="17">
        <f>'Passenger Vehicle Calculations'!N69</f>
        <v>0</v>
      </c>
      <c r="N6" s="17">
        <f>'Passenger Vehicle Calculations'!O69</f>
        <v>0</v>
      </c>
      <c r="O6" s="17">
        <f>'Passenger Vehicle Calculations'!P69</f>
        <v>0</v>
      </c>
      <c r="P6" s="17">
        <f>'Passenger Vehicle Calculations'!Q69</f>
        <v>0</v>
      </c>
      <c r="Q6" s="17">
        <f>'Passenger Vehicle Calculations'!R69</f>
        <v>0</v>
      </c>
      <c r="R6" s="17">
        <f>'Passenger Vehicle Calculations'!S69</f>
        <v>0</v>
      </c>
      <c r="S6" s="17">
        <f>'Passenger Vehicle Calculations'!T69</f>
        <v>0</v>
      </c>
      <c r="T6" s="17">
        <f>'Passenger Vehicle Calculations'!U69</f>
        <v>0</v>
      </c>
      <c r="U6" s="17">
        <f>'Passenger Vehicle Calculations'!V69</f>
        <v>0</v>
      </c>
      <c r="V6" s="17">
        <f>'Passenger Vehicle Calculations'!W69</f>
        <v>0</v>
      </c>
      <c r="W6" s="17">
        <f>'Passenger Vehicle Calculations'!X69</f>
        <v>0</v>
      </c>
      <c r="X6" s="17">
        <f>'Passenger Vehicle Calculations'!Y69</f>
        <v>0</v>
      </c>
      <c r="Y6" s="17">
        <f>'Passenger Vehicle Calculations'!Z69</f>
        <v>0</v>
      </c>
      <c r="Z6" s="17">
        <f>'Passenger Vehicle Calculations'!AA69</f>
        <v>0</v>
      </c>
      <c r="AA6" s="17">
        <f>'Passenger Vehicle Calculations'!AB69</f>
        <v>0</v>
      </c>
      <c r="AB6" s="17">
        <f>'Passenger Vehicle Calculations'!AC69</f>
        <v>0</v>
      </c>
      <c r="AC6" s="17">
        <f>'Passenger Vehicle Calculations'!AD69</f>
        <v>0</v>
      </c>
      <c r="AD6" s="17">
        <f>'Passenger Vehicle Calculations'!AE69</f>
        <v>0</v>
      </c>
      <c r="AE6" s="17">
        <f>'Passenger Vehicle Calculations'!AF69</f>
        <v>0</v>
      </c>
    </row>
    <row r="7" spans="1:31" x14ac:dyDescent="0.25">
      <c r="A7" t="s">
        <v>178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1" x14ac:dyDescent="0.25">
      <c r="A8" t="s">
        <v>179</v>
      </c>
      <c r="B8" s="17">
        <v>0</v>
      </c>
      <c r="C8" s="17">
        <v>0</v>
      </c>
      <c r="D8" s="17">
        <f t="shared" ref="D8:AE8" si="0">D2</f>
        <v>5212.6508156176633</v>
      </c>
      <c r="E8" s="17">
        <f t="shared" si="0"/>
        <v>3813.1221338516089</v>
      </c>
      <c r="F8" s="17">
        <f t="shared" si="0"/>
        <v>2775.2505550587362</v>
      </c>
      <c r="G8" s="17">
        <f t="shared" si="0"/>
        <v>1370.3019999999999</v>
      </c>
      <c r="H8" s="17">
        <f t="shared" si="0"/>
        <v>1332.9780000000001</v>
      </c>
      <c r="I8" s="17">
        <f t="shared" si="0"/>
        <v>1296.6679999999999</v>
      </c>
      <c r="J8" s="17">
        <f t="shared" si="0"/>
        <v>1261.3499999999999</v>
      </c>
      <c r="K8" s="17">
        <f t="shared" si="0"/>
        <v>1226.9939999999999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si="0"/>
        <v>0</v>
      </c>
      <c r="V8" s="17">
        <f t="shared" si="0"/>
        <v>0</v>
      </c>
      <c r="W8" s="17">
        <f t="shared" si="0"/>
        <v>0</v>
      </c>
      <c r="X8" s="17">
        <f t="shared" si="0"/>
        <v>0</v>
      </c>
      <c r="Y8" s="17">
        <f t="shared" si="0"/>
        <v>0</v>
      </c>
      <c r="Z8" s="17">
        <f t="shared" si="0"/>
        <v>0</v>
      </c>
      <c r="AA8" s="17">
        <f t="shared" si="0"/>
        <v>0</v>
      </c>
      <c r="AB8" s="17">
        <f t="shared" si="0"/>
        <v>0</v>
      </c>
      <c r="AC8" s="17">
        <f t="shared" si="0"/>
        <v>0</v>
      </c>
      <c r="AD8" s="17">
        <f t="shared" si="0"/>
        <v>0</v>
      </c>
      <c r="AE8" s="17">
        <f t="shared" si="0"/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Vehicles'!$B4*'Commercial Vehicles'!C14*'Commercial Vehicles'!$B16</f>
        <v>25920.503200000003</v>
      </c>
      <c r="E2">
        <f>'Commercial Vehicles'!$B4*'Commercial Vehicles'!D14*'Commercial Vehicles'!$B16</f>
        <v>25177.910400000001</v>
      </c>
      <c r="F2">
        <f>'Commercial Vehicles'!$B4*'Commercial Vehicles'!E14*'Commercial Vehicles'!$B16</f>
        <v>24444.571199999998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25920.503200000003</v>
      </c>
      <c r="E6">
        <f t="shared" si="0"/>
        <v>25177.910400000001</v>
      </c>
      <c r="F6">
        <f t="shared" si="0"/>
        <v>24444.571199999998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25920.503200000003</v>
      </c>
      <c r="E8">
        <f t="shared" si="1"/>
        <v>25177.910400000001</v>
      </c>
      <c r="F8">
        <f t="shared" si="1"/>
        <v>24444.571199999998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E8"/>
  <sheetViews>
    <sheetView workbookViewId="0">
      <selection activeCell="G2" sqref="G2"/>
    </sheetView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Vehicles'!B10</f>
        <v>9715.0655535725182</v>
      </c>
      <c r="E2">
        <f>'Commercial Vehicles'!C10</f>
        <v>9379.5012038041405</v>
      </c>
      <c r="F2">
        <f>'Commercial Vehicles'!D10</f>
        <v>6823.6171857956251</v>
      </c>
      <c r="G2">
        <f>'Commercial Vehicles'!E10</f>
        <v>0</v>
      </c>
      <c r="H2">
        <f>'Commercial Vehicles'!F10</f>
        <v>0</v>
      </c>
      <c r="I2">
        <f>'Commercial Vehicles'!G10</f>
        <v>0</v>
      </c>
      <c r="J2">
        <f>'Commercial Vehicles'!H10</f>
        <v>0</v>
      </c>
      <c r="K2">
        <f>'Commercial Vehicles'!I10</f>
        <v>0</v>
      </c>
      <c r="L2">
        <f>'Commercial Vehicles'!J10</f>
        <v>0</v>
      </c>
      <c r="M2">
        <f>'Commercial Vehicles'!K10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M6" si="0">D2</f>
        <v>9715.0655535725182</v>
      </c>
      <c r="E6">
        <f t="shared" si="0"/>
        <v>9379.5012038041405</v>
      </c>
      <c r="F6">
        <f t="shared" si="0"/>
        <v>6823.6171857956251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M8" si="1">D2</f>
        <v>9715.0655535725182</v>
      </c>
      <c r="E8">
        <f t="shared" si="1"/>
        <v>9379.5012038041405</v>
      </c>
      <c r="F8">
        <f t="shared" si="1"/>
        <v>6823.6171857956251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E8"/>
  <sheetViews>
    <sheetView tabSelected="1"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 s="54">
        <f>'Commercial Vehicles'!$B4*'Commercial Vehicles'!C14</f>
        <v>30140.120000000003</v>
      </c>
      <c r="E2" s="54">
        <f>'Commercial Vehicles'!$B4*'Commercial Vehicles'!D14</f>
        <v>29276.639999999999</v>
      </c>
      <c r="F2" s="54">
        <f>'Commercial Vehicles'!$B4*'Commercial Vehicles'!E14</f>
        <v>28423.919999999998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30140.120000000003</v>
      </c>
      <c r="E6">
        <f t="shared" si="0"/>
        <v>29276.639999999999</v>
      </c>
      <c r="F6">
        <f t="shared" si="0"/>
        <v>28423.919999999998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30140.120000000003</v>
      </c>
      <c r="E8">
        <f t="shared" si="1"/>
        <v>29276.639999999999</v>
      </c>
      <c r="F8">
        <f t="shared" si="1"/>
        <v>28423.919999999998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Passenger Vehicle Calculations</vt:lpstr>
      <vt:lpstr>State EV Rebates</vt:lpstr>
      <vt:lpstr>Commercial Vehicles</vt:lpstr>
      <vt:lpstr>psgr</vt:lpstr>
      <vt:lpstr>BVS-psgr-LDVs</vt:lpstr>
      <vt:lpstr>BVS-psgr-HDVs</vt:lpstr>
      <vt:lpstr>BVS-psgr-aircraft</vt:lpstr>
      <vt:lpstr>BVS-psgr-rail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2026-09-09T22:14:53Z</dcterms:modified>
</cp:coreProperties>
</file>