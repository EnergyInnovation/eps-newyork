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FF788AD2-BB80-4F56-9BE6-8A62A73D0F0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9" i="7" l="1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V44" i="7"/>
  <c r="W44" i="7"/>
  <c r="Y44" i="7"/>
  <c r="X44" i="7"/>
  <c r="AH51" i="7"/>
  <c r="R45" i="7"/>
  <c r="U45" i="7" s="1"/>
  <c r="AG45" i="7"/>
  <c r="U44" i="7"/>
  <c r="AI39" i="7"/>
  <c r="AH37" i="7"/>
  <c r="T44" i="7"/>
  <c r="AI27" i="7"/>
  <c r="X10" i="7" l="1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Z10" i="7" s="1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44" i="7"/>
  <c r="AJ17" i="7"/>
  <c r="S51" i="7"/>
  <c r="AA34" i="7" l="1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89" i="10"/>
  <c r="N1" i="20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88" i="10"/>
  <c r="V63" i="10"/>
  <c r="N6" i="18" s="1"/>
  <c r="V48" i="10"/>
  <c r="N5" i="16" s="1"/>
  <c r="V33" i="10"/>
  <c r="N4" i="14" s="1"/>
  <c r="V59" i="10"/>
  <c r="N2" i="18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91" i="10"/>
  <c r="V23" i="10"/>
  <c r="N8" i="12" s="1"/>
  <c r="V22" i="10"/>
  <c r="N7" i="12" s="1"/>
  <c r="V72" i="10"/>
  <c r="N8" i="19" s="1"/>
  <c r="V39" i="10"/>
  <c r="N3" i="15" s="1"/>
  <c r="V20" i="10"/>
  <c r="N5" i="12" s="1"/>
  <c r="V75" i="10"/>
  <c r="N4" i="20" s="1"/>
  <c r="V47" i="10"/>
  <c r="N4" i="16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19" i="10"/>
  <c r="N4" i="12" s="1"/>
  <c r="V38" i="10"/>
  <c r="N2" i="15" s="1"/>
  <c r="V52" i="10"/>
  <c r="N2" i="17" s="1"/>
  <c r="V13" i="10"/>
  <c r="N5" i="11" s="1"/>
  <c r="V11" i="10"/>
  <c r="N3" i="11" s="1"/>
  <c r="V85" i="10"/>
  <c r="N7" i="21" s="1"/>
  <c r="V86" i="10"/>
  <c r="N8" i="21" s="1"/>
  <c r="V15" i="10"/>
  <c r="N7" i="11" s="1"/>
  <c r="V16" i="10"/>
  <c r="N8" i="11" s="1"/>
  <c r="V83" i="10"/>
  <c r="N5" i="21" s="1"/>
  <c r="V82" i="10"/>
  <c r="N4" i="21" s="1"/>
  <c r="V62" i="10" l="1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<sst xmlns="http://schemas.openxmlformats.org/spreadsheetml/2006/main" count="1579" uniqueCount="340">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</sst>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93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NY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168100</v>
      </c>
      <c r="C2">
        <f>SUMIFS(SYVbT_all!$D$4:$D$291,SYVbT_all!$A$4:$A$291,About!$B$2,SYVbT_all!$B$4:$B$291,$A2)</f>
        <v>300</v>
      </c>
      <c r="D2">
        <f>SUMIFS(SYVbT_all!$E$4:$E$291,SYVbT_all!$A$4:$A$291,About!$B$2,SYVbT_all!$B$4:$B$291,$A2)</f>
        <v>10402200</v>
      </c>
      <c r="E2">
        <f>SUMIFS(SYVbT_all!$F$4:$F$291,SYVbT_all!$A$4:$A$291,About!$B$2,SYVbT_all!$B$4:$B$291,$A2)</f>
        <v>31743</v>
      </c>
      <c r="F2">
        <f>SUMIFS(SYVbT_all!$G$4:$G$291,SYVbT_all!$A$4:$A$291,About!$B$2,SYVbT_all!$B$4:$B$291,$A2)</f>
        <v>111400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54</v>
      </c>
      <c r="C3">
        <f>SUMIFS(SYVbT_all!$D$4:$D$291,SYVbT_all!$A$4:$A$291,About!$B$2,SYVbT_all!$B$4:$B$291,$A3)</f>
        <v>23268</v>
      </c>
      <c r="D3">
        <f>SUMIFS(SYVbT_all!$E$4:$E$291,SYVbT_all!$A$4:$A$291,About!$B$2,SYVbT_all!$B$4:$B$291,$A3)</f>
        <v>18312</v>
      </c>
      <c r="E3">
        <f>SUMIFS(SYVbT_all!$F$4:$F$291,SYVbT_all!$A$4:$A$291,About!$B$2,SYVbT_all!$B$4:$B$291,$A3)</f>
        <v>145485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8524</v>
      </c>
      <c r="H3">
        <f>SUMIFS(SYVbT_all!$I$4:$I$291,SYVbT_all!$A$4:$A$291,About!$B$2,SYVbT_all!$B$4:$B$291,$A3)</f>
        <v>32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415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748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14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423870</v>
      </c>
      <c r="E6">
        <f>SUMIFS(SYVbT_all!$F$4:$F$291,SYVbT_all!$A$4:$A$291,About!$B$2,SYVbT_all!$B$4:$B$291,$A6)</f>
        <v>103331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794820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0.98162729658792647</v>
      </c>
      <c r="F52">
        <f>E52</f>
        <v>0.98162729658792647</v>
      </c>
      <c r="G52" t="s">
        <v>329</v>
      </c>
      <c r="I52">
        <f t="shared" si="10"/>
        <v>0.98162729658792647</v>
      </c>
      <c r="J52">
        <f>IF($G52="s-curve",$E52+($F52-$E52)*$I$2/(1+EXP($I$3*(COUNT($I$9:J$9)+$I$4))),TREND($E52:$F52,$E$9:$F$9,J$9))</f>
        <v>0.98162729658792647</v>
      </c>
      <c r="K52">
        <f>IF($G52="s-curve",$E52+($F52-$E52)*$I$2/(1+EXP($I$3*(COUNT($I$9:K$9)+$I$4))),TREND($E52:$F52,$E$9:$F$9,K$9))</f>
        <v>0.98162729658792647</v>
      </c>
      <c r="L52">
        <f>IF($G52="s-curve",$E52+($F52-$E52)*$I$2/(1+EXP($I$3*(COUNT($I$9:L$9)+$I$4))),TREND($E52:$F52,$E$9:$F$9,L$9))</f>
        <v>0.98162729658792647</v>
      </c>
      <c r="M52">
        <f>IF($G52="s-curve",$E52+($F52-$E52)*$I$2/(1+EXP($I$3*(COUNT($I$9:M$9)+$I$4))),TREND($E52:$F52,$E$9:$F$9,M$9))</f>
        <v>0.98162729658792647</v>
      </c>
      <c r="N52">
        <f>IF($G52="s-curve",$E52+($F52-$E52)*$I$2/(1+EXP($I$3*(COUNT($I$9:N$9)+$I$4))),TREND($E52:$F52,$E$9:$F$9,N$9))</f>
        <v>0.98162729658792647</v>
      </c>
      <c r="O52">
        <f>IF($G52="s-curve",$E52+($F52-$E52)*$I$2/(1+EXP($I$3*(COUNT($I$9:O$9)+$I$4))),TREND($E52:$F52,$E$9:$F$9,O$9))</f>
        <v>0.98162729658792647</v>
      </c>
      <c r="P52">
        <f>IF($G52="s-curve",$E52+($F52-$E52)*$I$2/(1+EXP($I$3*(COUNT($I$9:P$9)+$I$4))),TREND($E52:$F52,$E$9:$F$9,P$9))</f>
        <v>0.98162729658792647</v>
      </c>
      <c r="Q52">
        <f>IF($G52="s-curve",$E52+($F52-$E52)*$I$2/(1+EXP($I$3*(COUNT($I$9:Q$9)+$I$4))),TREND($E52:$F52,$E$9:$F$9,Q$9))</f>
        <v>0.98162729658792647</v>
      </c>
      <c r="R52">
        <f>IF($G52="s-curve",$E52+($F52-$E52)*$I$2/(1+EXP($I$3*(COUNT($I$9:R$9)+$I$4))),TREND($E52:$F52,$E$9:$F$9,R$9))</f>
        <v>0.98162729658792647</v>
      </c>
      <c r="S52">
        <f>IF($G52="s-curve",$E52+($F52-$E52)*$I$2/(1+EXP($I$3*(COUNT($I$9:S$9)+$I$4))),TREND($E52:$F52,$E$9:$F$9,S$9))</f>
        <v>0.98162729658792647</v>
      </c>
      <c r="T52">
        <f>IF($G52="s-curve",$E52+($F52-$E52)*$I$2/(1+EXP($I$3*(COUNT($I$9:T$9)+$I$4))),TREND($E52:$F52,$E$9:$F$9,T$9))</f>
        <v>0.98162729658792647</v>
      </c>
      <c r="U52">
        <f>IF($G52="s-curve",$E52+($F52-$E52)*$I$2/(1+EXP($I$3*(COUNT($I$9:U$9)+$I$4))),TREND($E52:$F52,$E$9:$F$9,U$9))</f>
        <v>0.98162729658792647</v>
      </c>
      <c r="V52">
        <f>IF($G52="s-curve",$E52+($F52-$E52)*$I$2/(1+EXP($I$3*(COUNT($I$9:V$9)+$I$4))),TREND($E52:$F52,$E$9:$F$9,V$9))</f>
        <v>0.98162729658792647</v>
      </c>
      <c r="W52">
        <f>IF($G52="s-curve",$E52+($F52-$E52)*$I$2/(1+EXP($I$3*(COUNT($I$9:W$9)+$I$4))),TREND($E52:$F52,$E$9:$F$9,W$9))</f>
        <v>0.98162729658792647</v>
      </c>
      <c r="X52">
        <f>IF($G52="s-curve",$E52+($F52-$E52)*$I$2/(1+EXP($I$3*(COUNT($I$9:X$9)+$I$4))),TREND($E52:$F52,$E$9:$F$9,X$9))</f>
        <v>0.98162729658792647</v>
      </c>
      <c r="Y52">
        <f>IF($G52="s-curve",$E52+($F52-$E52)*$I$2/(1+EXP($I$3*(COUNT($I$9:Y$9)+$I$4))),TREND($E52:$F52,$E$9:$F$9,Y$9))</f>
        <v>0.98162729658792647</v>
      </c>
      <c r="Z52">
        <f>IF($G52="s-curve",$E52+($F52-$E52)*$I$2/(1+EXP($I$3*(COUNT($I$9:Z$9)+$I$4))),TREND($E52:$F52,$E$9:$F$9,Z$9))</f>
        <v>0.98162729658792647</v>
      </c>
      <c r="AA52">
        <f>IF($G52="s-curve",$E52+($F52-$E52)*$I$2/(1+EXP($I$3*(COUNT($I$9:AA$9)+$I$4))),TREND($E52:$F52,$E$9:$F$9,AA$9))</f>
        <v>0.98162729658792647</v>
      </c>
      <c r="AB52">
        <f>IF($G52="s-curve",$E52+($F52-$E52)*$I$2/(1+EXP($I$3*(COUNT($I$9:AB$9)+$I$4))),TREND($E52:$F52,$E$9:$F$9,AB$9))</f>
        <v>0.98162729658792647</v>
      </c>
      <c r="AC52">
        <f>IF($G52="s-curve",$E52+($F52-$E52)*$I$2/(1+EXP($I$3*(COUNT($I$9:AC$9)+$I$4))),TREND($E52:$F52,$E$9:$F$9,AC$9))</f>
        <v>0.98162729658792647</v>
      </c>
      <c r="AD52">
        <f>IF($G52="s-curve",$E52+($F52-$E52)*$I$2/(1+EXP($I$3*(COUNT($I$9:AD$9)+$I$4))),TREND($E52:$F52,$E$9:$F$9,AD$9))</f>
        <v>0.98162729658792647</v>
      </c>
      <c r="AE52">
        <f>IF($G52="s-curve",$E52+($F52-$E52)*$I$2/(1+EXP($I$3*(COUNT($I$9:AE$9)+$I$4))),TREND($E52:$F52,$E$9:$F$9,AE$9))</f>
        <v>0.98162729658792647</v>
      </c>
      <c r="AF52">
        <f>IF($G52="s-curve",$E52+($F52-$E52)*$I$2/(1+EXP($I$3*(COUNT($I$9:AF$9)+$I$4))),TREND($E52:$F52,$E$9:$F$9,AF$9))</f>
        <v>0.98162729658792647</v>
      </c>
      <c r="AG52">
        <f>IF($G52="s-curve",$E52+($F52-$E52)*$I$2/(1+EXP($I$3*(COUNT($I$9:AG$9)+$I$4))),TREND($E52:$F52,$E$9:$F$9,AG$9))</f>
        <v>0.98162729658792647</v>
      </c>
      <c r="AH52">
        <f>IF($G52="s-curve",$E52+($F52-$E52)*$I$2/(1+EXP($I$3*(COUNT($I$9:AH$9)+$I$4))),TREND($E52:$F52,$E$9:$F$9,AH$9))</f>
        <v>0.98162729658792647</v>
      </c>
      <c r="AI52">
        <f>IF($G52="s-curve",$E52+($F52-$E52)*$I$2/(1+EXP($I$3*(COUNT($I$9:AI$9)+$I$4))),TREND($E52:$F52,$E$9:$F$9,AI$9))</f>
        <v>0.98162729658792647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1.8372703412073532E-2</v>
      </c>
      <c r="F55">
        <f>E55</f>
        <v>1.8372703412073532E-2</v>
      </c>
      <c r="G55" t="str">
        <f>IF(E55=F55,"n/a",IF(OR(C55="battery electric vehicle",C55="natural gas vehicle",C55="plugin hybrid vehicle"),"s-curve","linear"))</f>
        <v>n/a</v>
      </c>
      <c r="I55">
        <f t="shared" si="10"/>
        <v>1.8372703412073532E-2</v>
      </c>
      <c r="J55">
        <f>IF($G55="s-curve",$E55+($F55-$E55)*$I$2/(1+EXP($I$3*(COUNT($I$9:J$9)+$I$4))),TREND($E55:$F55,$E$9:$F$9,J$9))</f>
        <v>1.8372703412073532E-2</v>
      </c>
      <c r="K55">
        <f>IF($G55="s-curve",$E55+($F55-$E55)*$I$2/(1+EXP($I$3*(COUNT($I$9:K$9)+$I$4))),TREND($E55:$F55,$E$9:$F$9,K$9))</f>
        <v>1.8372703412073532E-2</v>
      </c>
      <c r="L55">
        <f>IF($G55="s-curve",$E55+($F55-$E55)*$I$2/(1+EXP($I$3*(COUNT($I$9:L$9)+$I$4))),TREND($E55:$F55,$E$9:$F$9,L$9))</f>
        <v>1.8372703412073532E-2</v>
      </c>
      <c r="M55">
        <f>IF($G55="s-curve",$E55+($F55-$E55)*$I$2/(1+EXP($I$3*(COUNT($I$9:M$9)+$I$4))),TREND($E55:$F55,$E$9:$F$9,M$9))</f>
        <v>1.8372703412073532E-2</v>
      </c>
      <c r="N55">
        <f>IF($G55="s-curve",$E55+($F55-$E55)*$I$2/(1+EXP($I$3*(COUNT($I$9:N$9)+$I$4))),TREND($E55:$F55,$E$9:$F$9,N$9))</f>
        <v>1.8372703412073532E-2</v>
      </c>
      <c r="O55">
        <f>IF($G55="s-curve",$E55+($F55-$E55)*$I$2/(1+EXP($I$3*(COUNT($I$9:O$9)+$I$4))),TREND($E55:$F55,$E$9:$F$9,O$9))</f>
        <v>1.8372703412073532E-2</v>
      </c>
      <c r="P55">
        <f>IF($G55="s-curve",$E55+($F55-$E55)*$I$2/(1+EXP($I$3*(COUNT($I$9:P$9)+$I$4))),TREND($E55:$F55,$E$9:$F$9,P$9))</f>
        <v>1.8372703412073532E-2</v>
      </c>
      <c r="Q55">
        <f>IF($G55="s-curve",$E55+($F55-$E55)*$I$2/(1+EXP($I$3*(COUNT($I$9:Q$9)+$I$4))),TREND($E55:$F55,$E$9:$F$9,Q$9))</f>
        <v>1.8372703412073532E-2</v>
      </c>
      <c r="R55">
        <f>IF($G55="s-curve",$E55+($F55-$E55)*$I$2/(1+EXP($I$3*(COUNT($I$9:R$9)+$I$4))),TREND($E55:$F55,$E$9:$F$9,R$9))</f>
        <v>1.8372703412073532E-2</v>
      </c>
      <c r="S55">
        <f>IF($G55="s-curve",$E55+($F55-$E55)*$I$2/(1+EXP($I$3*(COUNT($I$9:S$9)+$I$4))),TREND($E55:$F55,$E$9:$F$9,S$9))</f>
        <v>1.8372703412073532E-2</v>
      </c>
      <c r="T55">
        <f>IF($G55="s-curve",$E55+($F55-$E55)*$I$2/(1+EXP($I$3*(COUNT($I$9:T$9)+$I$4))),TREND($E55:$F55,$E$9:$F$9,T$9))</f>
        <v>1.8372703412073532E-2</v>
      </c>
      <c r="U55">
        <f>IF($G55="s-curve",$E55+($F55-$E55)*$I$2/(1+EXP($I$3*(COUNT($I$9:U$9)+$I$4))),TREND($E55:$F55,$E$9:$F$9,U$9))</f>
        <v>1.8372703412073532E-2</v>
      </c>
      <c r="V55">
        <f>IF($G55="s-curve",$E55+($F55-$E55)*$I$2/(1+EXP($I$3*(COUNT($I$9:V$9)+$I$4))),TREND($E55:$F55,$E$9:$F$9,V$9))</f>
        <v>1.8372703412073532E-2</v>
      </c>
      <c r="W55">
        <f>IF($G55="s-curve",$E55+($F55-$E55)*$I$2/(1+EXP($I$3*(COUNT($I$9:W$9)+$I$4))),TREND($E55:$F55,$E$9:$F$9,W$9))</f>
        <v>1.8372703412073532E-2</v>
      </c>
      <c r="X55">
        <f>IF($G55="s-curve",$E55+($F55-$E55)*$I$2/(1+EXP($I$3*(COUNT($I$9:X$9)+$I$4))),TREND($E55:$F55,$E$9:$F$9,X$9))</f>
        <v>1.8372703412073532E-2</v>
      </c>
      <c r="Y55">
        <f>IF($G55="s-curve",$E55+($F55-$E55)*$I$2/(1+EXP($I$3*(COUNT($I$9:Y$9)+$I$4))),TREND($E55:$F55,$E$9:$F$9,Y$9))</f>
        <v>1.8372703412073532E-2</v>
      </c>
      <c r="Z55">
        <f>IF($G55="s-curve",$E55+($F55-$E55)*$I$2/(1+EXP($I$3*(COUNT($I$9:Z$9)+$I$4))),TREND($E55:$F55,$E$9:$F$9,Z$9))</f>
        <v>1.8372703412073532E-2</v>
      </c>
      <c r="AA55">
        <f>IF($G55="s-curve",$E55+($F55-$E55)*$I$2/(1+EXP($I$3*(COUNT($I$9:AA$9)+$I$4))),TREND($E55:$F55,$E$9:$F$9,AA$9))</f>
        <v>1.8372703412073532E-2</v>
      </c>
      <c r="AB55">
        <f>IF($G55="s-curve",$E55+($F55-$E55)*$I$2/(1+EXP($I$3*(COUNT($I$9:AB$9)+$I$4))),TREND($E55:$F55,$E$9:$F$9,AB$9))</f>
        <v>1.8372703412073532E-2</v>
      </c>
      <c r="AC55">
        <f>IF($G55="s-curve",$E55+($F55-$E55)*$I$2/(1+EXP($I$3*(COUNT($I$9:AC$9)+$I$4))),TREND($E55:$F55,$E$9:$F$9,AC$9))</f>
        <v>1.8372703412073532E-2</v>
      </c>
      <c r="AD55">
        <f>IF($G55="s-curve",$E55+($F55-$E55)*$I$2/(1+EXP($I$3*(COUNT($I$9:AD$9)+$I$4))),TREND($E55:$F55,$E$9:$F$9,AD$9))</f>
        <v>1.8372703412073532E-2</v>
      </c>
      <c r="AE55">
        <f>IF($G55="s-curve",$E55+($F55-$E55)*$I$2/(1+EXP($I$3*(COUNT($I$9:AE$9)+$I$4))),TREND($E55:$F55,$E$9:$F$9,AE$9))</f>
        <v>1.8372703412073532E-2</v>
      </c>
      <c r="AF55">
        <f>IF($G55="s-curve",$E55+($F55-$E55)*$I$2/(1+EXP($I$3*(COUNT($I$9:AF$9)+$I$4))),TREND($E55:$F55,$E$9:$F$9,AF$9))</f>
        <v>1.8372703412073532E-2</v>
      </c>
      <c r="AG55">
        <f>IF($G55="s-curve",$E55+($F55-$E55)*$I$2/(1+EXP($I$3*(COUNT($I$9:AG$9)+$I$4))),TREND($E55:$F55,$E$9:$F$9,AG$9))</f>
        <v>1.8372703412073532E-2</v>
      </c>
      <c r="AH55">
        <f>IF($G55="s-curve",$E55+($F55-$E55)*$I$2/(1+EXP($I$3*(COUNT($I$9:AH$9)+$I$4))),TREND($E55:$F55,$E$9:$F$9,AH$9))</f>
        <v>1.8372703412073532E-2</v>
      </c>
      <c r="AI55">
        <f>IF($G55="s-curve",$E55+($F55-$E55)*$I$2/(1+EXP($I$3*(COUNT($I$9:AI$9)+$I$4))),TREND($E55:$F55,$E$9:$F$9,AI$9))</f>
        <v>1.8372703412073532E-2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0.98162729658792647</v>
      </c>
      <c r="C2">
        <f>Data!K52</f>
        <v>0.98162729658792647</v>
      </c>
      <c r="D2">
        <f>Data!L52</f>
        <v>0.98162729658792647</v>
      </c>
      <c r="E2">
        <f>Data!M52</f>
        <v>0.98162729658792647</v>
      </c>
      <c r="F2">
        <f>Data!N52</f>
        <v>0.98162729658792647</v>
      </c>
      <c r="G2">
        <f>Data!O52</f>
        <v>0.98162729658792647</v>
      </c>
      <c r="H2">
        <f>Data!P52</f>
        <v>0.98162729658792647</v>
      </c>
      <c r="I2">
        <f>Data!Q52</f>
        <v>0.98162729658792647</v>
      </c>
      <c r="J2">
        <f>Data!R52</f>
        <v>0.98162729658792647</v>
      </c>
      <c r="K2">
        <f>Data!S52</f>
        <v>0.98162729658792647</v>
      </c>
      <c r="L2">
        <f>Data!T52</f>
        <v>0.98162729658792647</v>
      </c>
      <c r="M2">
        <f>Data!U52</f>
        <v>0.98162729658792647</v>
      </c>
      <c r="N2">
        <f>Data!V52</f>
        <v>0.98162729658792647</v>
      </c>
      <c r="O2">
        <f>Data!W52</f>
        <v>0.98162729658792647</v>
      </c>
      <c r="P2">
        <f>Data!X52</f>
        <v>0.98162729658792647</v>
      </c>
      <c r="Q2">
        <f>Data!Y52</f>
        <v>0.98162729658792647</v>
      </c>
      <c r="R2">
        <f>Data!Z52</f>
        <v>0.98162729658792647</v>
      </c>
      <c r="S2">
        <f>Data!AA52</f>
        <v>0.98162729658792647</v>
      </c>
      <c r="T2">
        <f>Data!AB52</f>
        <v>0.98162729658792647</v>
      </c>
      <c r="U2">
        <f>Data!AC52</f>
        <v>0.98162729658792647</v>
      </c>
      <c r="V2">
        <f>Data!AD52</f>
        <v>0.98162729658792647</v>
      </c>
      <c r="W2">
        <f>Data!AE52</f>
        <v>0.98162729658792647</v>
      </c>
      <c r="X2">
        <f>Data!AF52</f>
        <v>0.98162729658792647</v>
      </c>
      <c r="Y2">
        <f>Data!AG52</f>
        <v>0.98162729658792647</v>
      </c>
      <c r="Z2">
        <f>Data!AH52</f>
        <v>0.98162729658792647</v>
      </c>
      <c r="AA2">
        <f>Data!AI52</f>
        <v>0.98162729658792647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1.8372703412073532E-2</v>
      </c>
      <c r="C5">
        <f>Data!K55</f>
        <v>1.8372703412073532E-2</v>
      </c>
      <c r="D5">
        <f>Data!L55</f>
        <v>1.8372703412073532E-2</v>
      </c>
      <c r="E5">
        <f>Data!M55</f>
        <v>1.8372703412073532E-2</v>
      </c>
      <c r="F5">
        <f>Data!N55</f>
        <v>1.8372703412073532E-2</v>
      </c>
      <c r="G5">
        <f>Data!O55</f>
        <v>1.8372703412073532E-2</v>
      </c>
      <c r="H5">
        <f>Data!P55</f>
        <v>1.8372703412073532E-2</v>
      </c>
      <c r="I5">
        <f>Data!Q55</f>
        <v>1.8372703412073532E-2</v>
      </c>
      <c r="J5">
        <f>Data!R55</f>
        <v>1.8372703412073532E-2</v>
      </c>
      <c r="K5">
        <f>Data!S55</f>
        <v>1.8372703412073532E-2</v>
      </c>
      <c r="L5">
        <f>Data!T55</f>
        <v>1.8372703412073532E-2</v>
      </c>
      <c r="M5">
        <f>Data!U55</f>
        <v>1.8372703412073532E-2</v>
      </c>
      <c r="N5">
        <f>Data!V55</f>
        <v>1.8372703412073532E-2</v>
      </c>
      <c r="O5">
        <f>Data!W55</f>
        <v>1.8372703412073532E-2</v>
      </c>
      <c r="P5">
        <f>Data!X55</f>
        <v>1.8372703412073532E-2</v>
      </c>
      <c r="Q5">
        <f>Data!Y55</f>
        <v>1.8372703412073532E-2</v>
      </c>
      <c r="R5">
        <f>Data!Z55</f>
        <v>1.8372703412073532E-2</v>
      </c>
      <c r="S5">
        <f>Data!AA55</f>
        <v>1.8372703412073532E-2</v>
      </c>
      <c r="T5">
        <f>Data!AB55</f>
        <v>1.8372703412073532E-2</v>
      </c>
      <c r="U5">
        <f>Data!AC55</f>
        <v>1.8372703412073532E-2</v>
      </c>
      <c r="V5">
        <f>Data!AD55</f>
        <v>1.8372703412073532E-2</v>
      </c>
      <c r="W5">
        <f>Data!AE55</f>
        <v>1.8372703412073532E-2</v>
      </c>
      <c r="X5">
        <f>Data!AF55</f>
        <v>1.8372703412073532E-2</v>
      </c>
      <c r="Y5">
        <f>Data!AG55</f>
        <v>1.8372703412073532E-2</v>
      </c>
      <c r="Z5">
        <f>Data!AH55</f>
        <v>1.8372703412073532E-2</v>
      </c>
      <c r="AA5">
        <f>Data!AI55</f>
        <v>1.8372703412073532E-2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2026-09-04T21:33:04Z</dcterms:modified>
</cp:coreProperties>
</file>